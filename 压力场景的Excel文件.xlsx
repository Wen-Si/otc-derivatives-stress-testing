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krisk\02需求管理\需求规格说明书\压力测试中心的需求\"/>
    </mc:Choice>
  </mc:AlternateContent>
  <xr:revisionPtr revIDLastSave="0" documentId="13_ncr:1_{BFA107BE-207E-47C2-B403-C4F084332EF5}" xr6:coauthVersionLast="47" xr6:coauthVersionMax="47" xr10:uidLastSave="{00000000-0000-0000-0000-000000000000}"/>
  <bookViews>
    <workbookView xWindow="-110" yWindow="-110" windowWidth="19420" windowHeight="11020" firstSheet="7" activeTab="10" xr2:uid="{B52435DC-D0B0-418D-B028-E58167021F83}"/>
  </bookViews>
  <sheets>
    <sheet name="假设情景" sheetId="1" r:id="rId1"/>
    <sheet name="历史情景" sheetId="2" r:id="rId2"/>
    <sheet name="任务配置（全公司仓位）" sheetId="4" r:id="rId3"/>
    <sheet name="任务配置（投资组合）" sheetId="3" r:id="rId4"/>
    <sheet name="任务配置（资产类型）" sheetId="5" r:id="rId5"/>
    <sheet name="任务执行监控（全公司仓位）" sheetId="6" r:id="rId6"/>
    <sheet name="任务执行监控（投资组合）" sheetId="7" r:id="rId7"/>
    <sheet name="任务执行监控（资产类别）" sheetId="8" r:id="rId8"/>
    <sheet name="测试结果（全仓位）" sheetId="9" r:id="rId9"/>
    <sheet name="测试结果（投资组合）" sheetId="10" r:id="rId10"/>
    <sheet name="测试结果（资产类型）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9" l="1"/>
  <c r="G11" i="9"/>
  <c r="G5" i="9"/>
  <c r="G3" i="9"/>
  <c r="G4" i="9"/>
</calcChain>
</file>

<file path=xl/sharedStrings.xml><?xml version="1.0" encoding="utf-8"?>
<sst xmlns="http://schemas.openxmlformats.org/spreadsheetml/2006/main" count="1119" uniqueCount="136">
  <si>
    <t>风险因子</t>
  </si>
  <si>
    <t>轻度压力情景</t>
  </si>
  <si>
    <t>重度压力情景</t>
  </si>
  <si>
    <t>沪深300指数</t>
  </si>
  <si>
    <t>科创50指数</t>
  </si>
  <si>
    <t>创业板指</t>
  </si>
  <si>
    <t>北证50指数</t>
  </si>
  <si>
    <t>恒生指数</t>
  </si>
  <si>
    <t>标普500指数</t>
  </si>
  <si>
    <t>75.b.p</t>
  </si>
  <si>
    <t>100.b.p</t>
  </si>
  <si>
    <t>125.b.p</t>
  </si>
  <si>
    <t>70.b.p</t>
  </si>
  <si>
    <t>90.b.p</t>
  </si>
  <si>
    <t>115.b.p</t>
  </si>
  <si>
    <t>65.b.p</t>
  </si>
  <si>
    <t>85.b.p</t>
  </si>
  <si>
    <t>110.b.p</t>
  </si>
  <si>
    <t>AAA信用利差</t>
  </si>
  <si>
    <t>60.b.p</t>
  </si>
  <si>
    <t>120.b.p</t>
  </si>
  <si>
    <t>130.b.p</t>
  </si>
  <si>
    <t>80.b.p</t>
  </si>
  <si>
    <t>160.b.p</t>
  </si>
  <si>
    <t>美元兑人民币</t>
  </si>
  <si>
    <t>欧元兑人民币</t>
  </si>
  <si>
    <t>英镑兑人民币</t>
  </si>
  <si>
    <t>60.b.p</t>
    <phoneticPr fontId="2" type="noConversion"/>
  </si>
  <si>
    <t>国债收益率1年内</t>
    <phoneticPr fontId="2" type="noConversion"/>
  </si>
  <si>
    <t>AAA信用利差1年内</t>
    <phoneticPr fontId="2" type="noConversion"/>
  </si>
  <si>
    <t>国债收益率1年-3年</t>
    <phoneticPr fontId="2" type="noConversion"/>
  </si>
  <si>
    <t>AAA信用利差1年-3年</t>
    <phoneticPr fontId="2" type="noConversion"/>
  </si>
  <si>
    <t>国债收益率3年-5年</t>
    <phoneticPr fontId="2" type="noConversion"/>
  </si>
  <si>
    <t>AAA信用利差3年-5年</t>
    <phoneticPr fontId="2" type="noConversion"/>
  </si>
  <si>
    <t>国债收益率5年-10年</t>
    <phoneticPr fontId="2" type="noConversion"/>
  </si>
  <si>
    <t>AAA信用利差5年-10年</t>
    <phoneticPr fontId="2" type="noConversion"/>
  </si>
  <si>
    <t>国债收益率10年以上</t>
    <phoneticPr fontId="2" type="noConversion"/>
  </si>
  <si>
    <t>AAA信用利差10年以上</t>
    <phoneticPr fontId="2" type="noConversion"/>
  </si>
  <si>
    <t>65.b.p</t>
    <phoneticPr fontId="2" type="noConversion"/>
  </si>
  <si>
    <t>95.b.p</t>
    <phoneticPr fontId="2" type="noConversion"/>
  </si>
  <si>
    <t>125.b.p</t>
    <phoneticPr fontId="2" type="noConversion"/>
  </si>
  <si>
    <t>AA+信用利差1年内</t>
    <phoneticPr fontId="2" type="noConversion"/>
  </si>
  <si>
    <t>AA+信用利差1年-3年</t>
    <phoneticPr fontId="2" type="noConversion"/>
  </si>
  <si>
    <t>AA+信用利差3年-5年</t>
    <phoneticPr fontId="2" type="noConversion"/>
  </si>
  <si>
    <t>AA+信用利差5年-10年</t>
    <phoneticPr fontId="2" type="noConversion"/>
  </si>
  <si>
    <t>AA+信用利差10年以上</t>
    <phoneticPr fontId="2" type="noConversion"/>
  </si>
  <si>
    <t>75.b.p</t>
    <phoneticPr fontId="2" type="noConversion"/>
  </si>
  <si>
    <t>110.b.p</t>
    <phoneticPr fontId="2" type="noConversion"/>
  </si>
  <si>
    <t>140.b.p</t>
    <phoneticPr fontId="2" type="noConversion"/>
  </si>
  <si>
    <t>120.b.p</t>
    <phoneticPr fontId="2" type="noConversion"/>
  </si>
  <si>
    <t>150.b.p</t>
    <phoneticPr fontId="2" type="noConversion"/>
  </si>
  <si>
    <t>AA信用利差1年内</t>
    <phoneticPr fontId="2" type="noConversion"/>
  </si>
  <si>
    <t>AA信用利差1年-3年</t>
    <phoneticPr fontId="2" type="noConversion"/>
  </si>
  <si>
    <t>AA信用利差3年-5年</t>
    <phoneticPr fontId="2" type="noConversion"/>
  </si>
  <si>
    <t>AA信用利差5年-10年</t>
    <phoneticPr fontId="2" type="noConversion"/>
  </si>
  <si>
    <t>AA信用利差10年以上</t>
    <phoneticPr fontId="2" type="noConversion"/>
  </si>
  <si>
    <t>90.b.p</t>
    <phoneticPr fontId="2" type="noConversion"/>
  </si>
  <si>
    <t>130.b.p</t>
    <phoneticPr fontId="2" type="noConversion"/>
  </si>
  <si>
    <t>170.b.p</t>
    <phoneticPr fontId="2" type="noConversion"/>
  </si>
  <si>
    <t>王一</t>
    <phoneticPr fontId="2" type="noConversion"/>
  </si>
  <si>
    <t>180.b.p</t>
    <phoneticPr fontId="2" type="noConversion"/>
  </si>
  <si>
    <t>创建人</t>
    <phoneticPr fontId="2" type="noConversion"/>
  </si>
  <si>
    <t>创建的时间</t>
    <phoneticPr fontId="2" type="noConversion"/>
  </si>
  <si>
    <t>情景名称</t>
  </si>
  <si>
    <t>起始日期</t>
  </si>
  <si>
    <t>结束日期</t>
  </si>
  <si>
    <t xml:space="preserve"> 2013年银行间市场流动性紧张</t>
  </si>
  <si>
    <t>2013年末银行间债券收益率飙升</t>
  </si>
  <si>
    <t>2014年末外汇市场大幅波动</t>
  </si>
  <si>
    <t>2016年汇率大幅双向波动</t>
  </si>
  <si>
    <t>2016年债券市场信用利差波动加大</t>
  </si>
  <si>
    <t>2018年人民币兑美元汇率大幅波动</t>
  </si>
  <si>
    <t>2020年下半年人民币兑美元汇率持续升值</t>
  </si>
  <si>
    <t xml:space="preserve"> 2020年新冠疫情</t>
  </si>
  <si>
    <t>风险因子的名称</t>
    <phoneticPr fontId="2" type="noConversion"/>
  </si>
  <si>
    <t>国债收益率</t>
    <phoneticPr fontId="2" type="noConversion"/>
  </si>
  <si>
    <t>王二</t>
    <phoneticPr fontId="2" type="noConversion"/>
  </si>
  <si>
    <t>AA+信用利差</t>
    <phoneticPr fontId="2" type="noConversion"/>
  </si>
  <si>
    <t>AA信用利差</t>
    <phoneticPr fontId="2" type="noConversion"/>
  </si>
  <si>
    <t>日元兑人民币</t>
    <phoneticPr fontId="2" type="noConversion"/>
  </si>
  <si>
    <t xml:space="preserve">2015年A股市场大跌 </t>
    <phoneticPr fontId="2" type="noConversion"/>
  </si>
  <si>
    <t>贵州茅台股价</t>
    <phoneticPr fontId="2" type="noConversion"/>
  </si>
  <si>
    <t>中国石油股价</t>
    <phoneticPr fontId="2" type="noConversion"/>
  </si>
  <si>
    <t xml:space="preserve"> 2013年银行间市场流动性紧张</t>
    <phoneticPr fontId="2" type="noConversion"/>
  </si>
  <si>
    <t>任务创建的时间</t>
    <phoneticPr fontId="2" type="noConversion"/>
  </si>
  <si>
    <t>情景的类型</t>
    <phoneticPr fontId="2" type="noConversion"/>
  </si>
  <si>
    <t>情景的名称</t>
    <phoneticPr fontId="2" type="noConversion"/>
  </si>
  <si>
    <t>历史情景</t>
    <phoneticPr fontId="2" type="noConversion"/>
  </si>
  <si>
    <t>仓位对象的日期</t>
  </si>
  <si>
    <t>测试的结果指标</t>
    <phoneticPr fontId="2" type="noConversion"/>
  </si>
  <si>
    <t>盈亏金额</t>
    <phoneticPr fontId="2" type="noConversion"/>
  </si>
  <si>
    <t>单一债券持仓比率</t>
  </si>
  <si>
    <t>假设情景</t>
    <phoneticPr fontId="2" type="noConversion"/>
  </si>
  <si>
    <t>中度压力情景</t>
    <phoneticPr fontId="2" type="noConversion"/>
  </si>
  <si>
    <t>中度压力情景</t>
    <phoneticPr fontId="2" type="noConversion"/>
  </si>
  <si>
    <t>轻度压力情景</t>
    <phoneticPr fontId="2" type="noConversion"/>
  </si>
  <si>
    <t>重度压力情景</t>
    <phoneticPr fontId="2" type="noConversion"/>
  </si>
  <si>
    <t>单一股票持仓比率</t>
    <phoneticPr fontId="2" type="noConversion"/>
  </si>
  <si>
    <t>投资组合的名称</t>
    <phoneticPr fontId="2" type="noConversion"/>
  </si>
  <si>
    <t>投资组合A</t>
    <phoneticPr fontId="2" type="noConversion"/>
  </si>
  <si>
    <t>投资组合B</t>
    <phoneticPr fontId="2" type="noConversion"/>
  </si>
  <si>
    <t>投资组合C</t>
    <phoneticPr fontId="2" type="noConversion"/>
  </si>
  <si>
    <t>债券类</t>
    <phoneticPr fontId="2" type="noConversion"/>
  </si>
  <si>
    <t>汇率类</t>
    <phoneticPr fontId="2" type="noConversion"/>
  </si>
  <si>
    <t>日元兑人民币</t>
    <phoneticPr fontId="2" type="noConversion"/>
  </si>
  <si>
    <t>权益类</t>
    <phoneticPr fontId="2" type="noConversion"/>
  </si>
  <si>
    <t>资产类型的名称</t>
    <phoneticPr fontId="2" type="noConversion"/>
  </si>
  <si>
    <t>测试的结果指标</t>
  </si>
  <si>
    <t>创建人</t>
  </si>
  <si>
    <t>国债收益率</t>
  </si>
  <si>
    <t>历史情景</t>
  </si>
  <si>
    <t>盈亏金额</t>
  </si>
  <si>
    <t>王二</t>
  </si>
  <si>
    <t>AA+信用利差</t>
  </si>
  <si>
    <t>AA信用利差</t>
  </si>
  <si>
    <t>假设情景</t>
  </si>
  <si>
    <t>中度压力情景</t>
  </si>
  <si>
    <t>单一股票持仓比率</t>
  </si>
  <si>
    <t>任务执行结果</t>
    <phoneticPr fontId="2" type="noConversion"/>
  </si>
  <si>
    <t>具体说明（针对任务失败）</t>
    <phoneticPr fontId="2" type="noConversion"/>
  </si>
  <si>
    <t>风险因子名称</t>
    <phoneticPr fontId="2" type="noConversion"/>
  </si>
  <si>
    <t>任务创建日期</t>
    <phoneticPr fontId="2" type="noConversion"/>
  </si>
  <si>
    <t>情景类型</t>
    <phoneticPr fontId="2" type="noConversion"/>
  </si>
  <si>
    <t>情景名称</t>
    <phoneticPr fontId="2" type="noConversion"/>
  </si>
  <si>
    <t>任务开始时间</t>
    <phoneticPr fontId="2" type="noConversion"/>
  </si>
  <si>
    <t>任务结束时间</t>
    <phoneticPr fontId="2" type="noConversion"/>
  </si>
  <si>
    <t>2024年8月22日23点11分23秒</t>
    <phoneticPr fontId="2" type="noConversion"/>
  </si>
  <si>
    <t>2024年8月23日2点5分49秒</t>
    <phoneticPr fontId="2" type="noConversion"/>
  </si>
  <si>
    <t>2024年9月2日23点19分20秒</t>
    <phoneticPr fontId="2" type="noConversion"/>
  </si>
  <si>
    <t>2024年9月3日2点18分40秒</t>
    <phoneticPr fontId="2" type="noConversion"/>
  </si>
  <si>
    <t>成功</t>
    <phoneticPr fontId="2" type="noConversion"/>
  </si>
  <si>
    <t>不适用</t>
    <phoneticPr fontId="2" type="noConversion"/>
  </si>
  <si>
    <t>投资组合名称</t>
    <phoneticPr fontId="2" type="noConversion"/>
  </si>
  <si>
    <t>仓位对象的日期</t>
    <phoneticPr fontId="2" type="noConversion"/>
  </si>
  <si>
    <t>指标的压力金额</t>
    <phoneticPr fontId="2" type="noConversion"/>
  </si>
  <si>
    <t>指标的压力结果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</si>
</sst>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9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60607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1" fontId="8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0" borderId="0" xfId="0" applyNumberFormat="1" applyFont="1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41F7-60C4-4AB4-982D-93BF4096123D}">
  <dimension ref="A1:F31"/>
  <sheetViews>
    <sheetView topLeftCell="A10" workbookViewId="0">
      <selection activeCell="I24" sqref="I24"/>
    </sheetView>
  </sheetViews>
  <sheetFormatPr defaultRowHeight="14" x14ac:dyDescent="0.3"/>
  <cols>
    <col min="1" max="1" width="13.9140625" style="7" bestFit="1" customWidth="1"/>
    <col min="2" max="2" width="20" customWidth="1"/>
    <col min="3" max="3" width="14.9140625" customWidth="1"/>
    <col min="4" max="4" width="16.1640625" customWidth="1"/>
    <col min="5" max="5" width="16.75" customWidth="1"/>
    <col min="6" max="6" width="12.33203125" style="7" bestFit="1" customWidth="1"/>
  </cols>
  <sheetData>
    <row r="1" spans="1:6" s="3" customFormat="1" x14ac:dyDescent="0.3">
      <c r="A1" s="4" t="s">
        <v>62</v>
      </c>
      <c r="B1" s="4" t="s">
        <v>0</v>
      </c>
      <c r="C1" s="4" t="s">
        <v>1</v>
      </c>
      <c r="D1" s="4" t="s">
        <v>93</v>
      </c>
      <c r="E1" s="4" t="s">
        <v>2</v>
      </c>
      <c r="F1" s="4" t="s">
        <v>61</v>
      </c>
    </row>
    <row r="2" spans="1:6" x14ac:dyDescent="0.3">
      <c r="A2" s="6">
        <v>45526</v>
      </c>
      <c r="B2" s="1" t="s">
        <v>3</v>
      </c>
      <c r="C2" s="2">
        <v>-0.1</v>
      </c>
      <c r="D2" s="2">
        <v>-0.15</v>
      </c>
      <c r="E2" s="2">
        <v>-0.2</v>
      </c>
      <c r="F2" s="7" t="s">
        <v>59</v>
      </c>
    </row>
    <row r="3" spans="1:6" x14ac:dyDescent="0.3">
      <c r="A3" s="6">
        <v>45526</v>
      </c>
      <c r="B3" s="1" t="s">
        <v>4</v>
      </c>
      <c r="C3" s="2">
        <v>-0.1</v>
      </c>
      <c r="D3" s="2">
        <v>-0.18</v>
      </c>
      <c r="E3" s="2">
        <v>-0.25</v>
      </c>
      <c r="F3" s="7" t="s">
        <v>59</v>
      </c>
    </row>
    <row r="4" spans="1:6" x14ac:dyDescent="0.3">
      <c r="A4" s="6">
        <v>45526</v>
      </c>
      <c r="B4" s="1" t="s">
        <v>5</v>
      </c>
      <c r="C4" s="2">
        <v>-0.1</v>
      </c>
      <c r="D4" s="2">
        <v>-0.18</v>
      </c>
      <c r="E4" s="2">
        <v>-0.25</v>
      </c>
      <c r="F4" s="7" t="s">
        <v>59</v>
      </c>
    </row>
    <row r="5" spans="1:6" x14ac:dyDescent="0.3">
      <c r="A5" s="6">
        <v>45526</v>
      </c>
      <c r="B5" s="1" t="s">
        <v>6</v>
      </c>
      <c r="C5" s="2">
        <v>-0.1</v>
      </c>
      <c r="D5" s="2">
        <v>-0.2</v>
      </c>
      <c r="E5" s="2">
        <v>-0.3</v>
      </c>
      <c r="F5" s="7" t="s">
        <v>59</v>
      </c>
    </row>
    <row r="6" spans="1:6" x14ac:dyDescent="0.3">
      <c r="A6" s="6">
        <v>45526</v>
      </c>
      <c r="B6" s="1" t="s">
        <v>7</v>
      </c>
      <c r="C6" s="2">
        <v>-0.1</v>
      </c>
      <c r="D6" s="2">
        <v>-0.15</v>
      </c>
      <c r="E6" s="2">
        <v>-0.2</v>
      </c>
      <c r="F6" s="7" t="s">
        <v>59</v>
      </c>
    </row>
    <row r="7" spans="1:6" x14ac:dyDescent="0.3">
      <c r="A7" s="6">
        <v>45526</v>
      </c>
      <c r="B7" s="1" t="s">
        <v>8</v>
      </c>
      <c r="C7" s="2">
        <v>-0.1</v>
      </c>
      <c r="D7" s="2">
        <v>-0.15</v>
      </c>
      <c r="E7" s="2">
        <v>-0.2</v>
      </c>
      <c r="F7" s="7" t="s">
        <v>59</v>
      </c>
    </row>
    <row r="8" spans="1:6" x14ac:dyDescent="0.3">
      <c r="A8" s="6">
        <v>45526</v>
      </c>
      <c r="B8" s="5" t="s">
        <v>28</v>
      </c>
      <c r="C8" s="1" t="s">
        <v>9</v>
      </c>
      <c r="D8" s="1" t="s">
        <v>10</v>
      </c>
      <c r="E8" s="1" t="s">
        <v>11</v>
      </c>
      <c r="F8" s="7" t="s">
        <v>59</v>
      </c>
    </row>
    <row r="9" spans="1:6" x14ac:dyDescent="0.3">
      <c r="A9" s="6">
        <v>45526</v>
      </c>
      <c r="B9" s="5" t="s">
        <v>30</v>
      </c>
      <c r="C9" s="1" t="s">
        <v>12</v>
      </c>
      <c r="D9" s="1" t="s">
        <v>13</v>
      </c>
      <c r="E9" s="1" t="s">
        <v>14</v>
      </c>
      <c r="F9" s="7" t="s">
        <v>59</v>
      </c>
    </row>
    <row r="10" spans="1:6" x14ac:dyDescent="0.3">
      <c r="A10" s="6">
        <v>45526</v>
      </c>
      <c r="B10" s="5" t="s">
        <v>32</v>
      </c>
      <c r="C10" s="1" t="s">
        <v>12</v>
      </c>
      <c r="D10" s="1" t="s">
        <v>13</v>
      </c>
      <c r="E10" s="1" t="s">
        <v>14</v>
      </c>
      <c r="F10" s="7" t="s">
        <v>59</v>
      </c>
    </row>
    <row r="11" spans="1:6" x14ac:dyDescent="0.3">
      <c r="A11" s="6">
        <v>45526</v>
      </c>
      <c r="B11" s="5" t="s">
        <v>34</v>
      </c>
      <c r="C11" s="1" t="s">
        <v>15</v>
      </c>
      <c r="D11" s="1" t="s">
        <v>16</v>
      </c>
      <c r="E11" s="1" t="s">
        <v>17</v>
      </c>
      <c r="F11" s="7" t="s">
        <v>59</v>
      </c>
    </row>
    <row r="12" spans="1:6" x14ac:dyDescent="0.3">
      <c r="A12" s="6">
        <v>45526</v>
      </c>
      <c r="B12" s="5" t="s">
        <v>36</v>
      </c>
      <c r="C12" s="1" t="s">
        <v>15</v>
      </c>
      <c r="D12" s="1" t="s">
        <v>16</v>
      </c>
      <c r="E12" s="1" t="s">
        <v>17</v>
      </c>
      <c r="F12" s="7" t="s">
        <v>59</v>
      </c>
    </row>
    <row r="13" spans="1:6" x14ac:dyDescent="0.3">
      <c r="A13" s="6">
        <v>45526</v>
      </c>
      <c r="B13" s="5" t="s">
        <v>29</v>
      </c>
      <c r="C13" s="1" t="s">
        <v>19</v>
      </c>
      <c r="D13" s="1" t="s">
        <v>13</v>
      </c>
      <c r="E13" s="1" t="s">
        <v>20</v>
      </c>
      <c r="F13" s="7" t="s">
        <v>59</v>
      </c>
    </row>
    <row r="14" spans="1:6" x14ac:dyDescent="0.3">
      <c r="A14" s="6">
        <v>45526</v>
      </c>
      <c r="B14" s="5" t="s">
        <v>31</v>
      </c>
      <c r="C14" s="5" t="s">
        <v>27</v>
      </c>
      <c r="D14" s="1" t="s">
        <v>13</v>
      </c>
      <c r="E14" s="1" t="s">
        <v>20</v>
      </c>
      <c r="F14" s="7" t="s">
        <v>59</v>
      </c>
    </row>
    <row r="15" spans="1:6" x14ac:dyDescent="0.3">
      <c r="A15" s="6">
        <v>45526</v>
      </c>
      <c r="B15" s="5" t="s">
        <v>33</v>
      </c>
      <c r="C15" s="5" t="s">
        <v>38</v>
      </c>
      <c r="D15" s="5" t="s">
        <v>39</v>
      </c>
      <c r="E15" s="5" t="s">
        <v>40</v>
      </c>
      <c r="F15" s="7" t="s">
        <v>59</v>
      </c>
    </row>
    <row r="16" spans="1:6" x14ac:dyDescent="0.3">
      <c r="A16" s="6">
        <v>45526</v>
      </c>
      <c r="B16" s="5" t="s">
        <v>35</v>
      </c>
      <c r="C16" s="5" t="s">
        <v>38</v>
      </c>
      <c r="D16" s="5" t="s">
        <v>39</v>
      </c>
      <c r="E16" s="5" t="s">
        <v>40</v>
      </c>
      <c r="F16" s="7" t="s">
        <v>59</v>
      </c>
    </row>
    <row r="17" spans="1:6" x14ac:dyDescent="0.3">
      <c r="A17" s="6">
        <v>45526</v>
      </c>
      <c r="B17" s="5" t="s">
        <v>37</v>
      </c>
      <c r="C17" s="1" t="s">
        <v>12</v>
      </c>
      <c r="D17" s="1" t="s">
        <v>10</v>
      </c>
      <c r="E17" s="1" t="s">
        <v>21</v>
      </c>
      <c r="F17" s="7" t="s">
        <v>59</v>
      </c>
    </row>
    <row r="18" spans="1:6" x14ac:dyDescent="0.3">
      <c r="A18" s="6">
        <v>45526</v>
      </c>
      <c r="B18" s="5" t="s">
        <v>41</v>
      </c>
      <c r="C18" s="1" t="s">
        <v>12</v>
      </c>
      <c r="D18" s="1" t="s">
        <v>10</v>
      </c>
      <c r="E18" s="1" t="s">
        <v>21</v>
      </c>
      <c r="F18" s="7" t="s">
        <v>59</v>
      </c>
    </row>
    <row r="19" spans="1:6" x14ac:dyDescent="0.3">
      <c r="A19" s="6">
        <v>45526</v>
      </c>
      <c r="B19" s="5" t="s">
        <v>42</v>
      </c>
      <c r="C19" s="1" t="s">
        <v>12</v>
      </c>
      <c r="D19" s="1" t="s">
        <v>10</v>
      </c>
      <c r="E19" s="1" t="s">
        <v>21</v>
      </c>
      <c r="F19" s="7" t="s">
        <v>59</v>
      </c>
    </row>
    <row r="20" spans="1:6" x14ac:dyDescent="0.3">
      <c r="A20" s="6">
        <v>45526</v>
      </c>
      <c r="B20" s="5" t="s">
        <v>43</v>
      </c>
      <c r="C20" s="5" t="s">
        <v>46</v>
      </c>
      <c r="D20" s="5" t="s">
        <v>47</v>
      </c>
      <c r="E20" s="5" t="s">
        <v>48</v>
      </c>
      <c r="F20" s="7" t="s">
        <v>59</v>
      </c>
    </row>
    <row r="21" spans="1:6" x14ac:dyDescent="0.3">
      <c r="A21" s="6">
        <v>45526</v>
      </c>
      <c r="B21" s="5" t="s">
        <v>44</v>
      </c>
      <c r="C21" s="5" t="s">
        <v>46</v>
      </c>
      <c r="D21" s="5" t="s">
        <v>47</v>
      </c>
      <c r="E21" s="5" t="s">
        <v>48</v>
      </c>
      <c r="F21" s="7" t="s">
        <v>59</v>
      </c>
    </row>
    <row r="22" spans="1:6" x14ac:dyDescent="0.3">
      <c r="A22" s="6">
        <v>45526</v>
      </c>
      <c r="B22" s="5" t="s">
        <v>45</v>
      </c>
      <c r="C22" s="1" t="s">
        <v>22</v>
      </c>
      <c r="D22" s="5" t="s">
        <v>49</v>
      </c>
      <c r="E22" s="5" t="s">
        <v>50</v>
      </c>
      <c r="F22" s="7" t="s">
        <v>59</v>
      </c>
    </row>
    <row r="23" spans="1:6" x14ac:dyDescent="0.3">
      <c r="A23" s="6">
        <v>45526</v>
      </c>
      <c r="B23" s="5" t="s">
        <v>51</v>
      </c>
      <c r="C23" s="1" t="s">
        <v>22</v>
      </c>
      <c r="D23" s="1" t="s">
        <v>20</v>
      </c>
      <c r="E23" s="1" t="s">
        <v>23</v>
      </c>
      <c r="F23" s="7" t="s">
        <v>59</v>
      </c>
    </row>
    <row r="24" spans="1:6" x14ac:dyDescent="0.3">
      <c r="A24" s="6">
        <v>45526</v>
      </c>
      <c r="B24" s="5" t="s">
        <v>52</v>
      </c>
      <c r="C24" s="1" t="s">
        <v>22</v>
      </c>
      <c r="D24" s="1" t="s">
        <v>20</v>
      </c>
      <c r="E24" s="1" t="s">
        <v>23</v>
      </c>
      <c r="F24" s="7" t="s">
        <v>59</v>
      </c>
    </row>
    <row r="25" spans="1:6" x14ac:dyDescent="0.3">
      <c r="A25" s="6">
        <v>45526</v>
      </c>
      <c r="B25" s="5" t="s">
        <v>53</v>
      </c>
      <c r="C25" s="5" t="s">
        <v>56</v>
      </c>
      <c r="D25" s="5" t="s">
        <v>57</v>
      </c>
      <c r="E25" s="5" t="s">
        <v>58</v>
      </c>
      <c r="F25" s="7" t="s">
        <v>59</v>
      </c>
    </row>
    <row r="26" spans="1:6" x14ac:dyDescent="0.3">
      <c r="A26" s="6">
        <v>45526</v>
      </c>
      <c r="B26" s="5" t="s">
        <v>54</v>
      </c>
      <c r="C26" s="5" t="s">
        <v>56</v>
      </c>
      <c r="D26" s="5" t="s">
        <v>57</v>
      </c>
      <c r="E26" s="5" t="s">
        <v>58</v>
      </c>
      <c r="F26" s="7" t="s">
        <v>59</v>
      </c>
    </row>
    <row r="27" spans="1:6" x14ac:dyDescent="0.3">
      <c r="A27" s="6">
        <v>45526</v>
      </c>
      <c r="B27" s="5" t="s">
        <v>55</v>
      </c>
      <c r="C27" s="5" t="s">
        <v>39</v>
      </c>
      <c r="D27" s="5" t="s">
        <v>48</v>
      </c>
      <c r="E27" s="5" t="s">
        <v>60</v>
      </c>
      <c r="F27" s="7" t="s">
        <v>59</v>
      </c>
    </row>
    <row r="28" spans="1:6" x14ac:dyDescent="0.3">
      <c r="A28" s="6">
        <v>45526</v>
      </c>
      <c r="B28" s="1" t="s">
        <v>24</v>
      </c>
      <c r="C28" s="2">
        <v>0.01</v>
      </c>
      <c r="D28" s="2">
        <v>0.02</v>
      </c>
      <c r="E28" s="2">
        <v>0.03</v>
      </c>
      <c r="F28" s="7" t="s">
        <v>59</v>
      </c>
    </row>
    <row r="29" spans="1:6" x14ac:dyDescent="0.3">
      <c r="A29" s="6">
        <v>45526</v>
      </c>
      <c r="B29" s="1" t="s">
        <v>25</v>
      </c>
      <c r="C29" s="2">
        <v>0.01</v>
      </c>
      <c r="D29" s="2">
        <v>0.02</v>
      </c>
      <c r="E29" s="2">
        <v>0.03</v>
      </c>
      <c r="F29" s="7" t="s">
        <v>59</v>
      </c>
    </row>
    <row r="30" spans="1:6" x14ac:dyDescent="0.3">
      <c r="A30" s="6">
        <v>45526</v>
      </c>
      <c r="B30" s="1" t="s">
        <v>26</v>
      </c>
      <c r="C30" s="2">
        <v>0.01</v>
      </c>
      <c r="D30" s="2">
        <v>0.02</v>
      </c>
      <c r="E30" s="2">
        <v>0.03</v>
      </c>
      <c r="F30" s="7" t="s">
        <v>59</v>
      </c>
    </row>
    <row r="31" spans="1:6" x14ac:dyDescent="0.3">
      <c r="A31" s="6">
        <v>45526</v>
      </c>
      <c r="B31" s="5" t="s">
        <v>104</v>
      </c>
      <c r="C31" s="2">
        <v>0.01</v>
      </c>
      <c r="D31" s="2">
        <v>0.02</v>
      </c>
      <c r="E31" s="2">
        <v>0.03</v>
      </c>
      <c r="F31" s="7" t="s">
        <v>59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B626-25EE-42E8-8B40-9ED506C9A6F0}">
  <dimension ref="A1:F44"/>
  <sheetViews>
    <sheetView topLeftCell="A4" workbookViewId="0">
      <selection activeCell="B10" sqref="B10"/>
    </sheetView>
  </sheetViews>
  <sheetFormatPr defaultRowHeight="14" x14ac:dyDescent="0.3"/>
  <cols>
    <col min="1" max="1" width="13.9140625" style="11" bestFit="1" customWidth="1"/>
    <col min="2" max="2" width="35.9140625" style="11" bestFit="1" customWidth="1"/>
    <col min="3" max="3" width="9.4140625" style="11" bestFit="1" customWidth="1"/>
    <col min="4" max="4" width="10.4140625" style="11" bestFit="1" customWidth="1"/>
    <col min="5" max="5" width="15.75" style="11" customWidth="1"/>
    <col min="6" max="6" width="8.6640625" style="11"/>
  </cols>
  <sheetData>
    <row r="1" spans="1:6" x14ac:dyDescent="0.3">
      <c r="A1" s="11" t="s">
        <v>62</v>
      </c>
      <c r="B1" s="8" t="s">
        <v>63</v>
      </c>
      <c r="C1" s="8" t="s">
        <v>64</v>
      </c>
      <c r="D1" s="8" t="s">
        <v>65</v>
      </c>
      <c r="E1" s="8" t="s">
        <v>74</v>
      </c>
      <c r="F1" s="8" t="s">
        <v>61</v>
      </c>
    </row>
    <row r="2" spans="1:6" x14ac:dyDescent="0.3">
      <c r="A2" s="12">
        <v>45526</v>
      </c>
      <c r="B2" s="9" t="s">
        <v>66</v>
      </c>
      <c r="C2" s="10">
        <v>41428</v>
      </c>
      <c r="D2" s="10">
        <v>41456</v>
      </c>
      <c r="E2" s="10" t="s">
        <v>75</v>
      </c>
      <c r="F2" s="11" t="s">
        <v>76</v>
      </c>
    </row>
    <row r="3" spans="1:6" x14ac:dyDescent="0.3">
      <c r="A3" s="12">
        <v>45526</v>
      </c>
      <c r="B3" s="9" t="s">
        <v>66</v>
      </c>
      <c r="C3" s="10">
        <v>41428</v>
      </c>
      <c r="D3" s="10">
        <v>41456</v>
      </c>
      <c r="E3" s="10" t="s">
        <v>18</v>
      </c>
      <c r="F3" s="11" t="s">
        <v>76</v>
      </c>
    </row>
    <row r="4" spans="1:6" x14ac:dyDescent="0.3">
      <c r="A4" s="12">
        <v>45526</v>
      </c>
      <c r="B4" s="9" t="s">
        <v>66</v>
      </c>
      <c r="C4" s="10">
        <v>41428</v>
      </c>
      <c r="D4" s="10">
        <v>41456</v>
      </c>
      <c r="E4" s="10" t="s">
        <v>77</v>
      </c>
      <c r="F4" s="11" t="s">
        <v>76</v>
      </c>
    </row>
    <row r="5" spans="1:6" x14ac:dyDescent="0.3">
      <c r="A5" s="12">
        <v>45526</v>
      </c>
      <c r="B5" s="9" t="s">
        <v>83</v>
      </c>
      <c r="C5" s="10">
        <v>41428</v>
      </c>
      <c r="D5" s="10">
        <v>41456</v>
      </c>
      <c r="E5" s="10" t="s">
        <v>78</v>
      </c>
      <c r="F5" s="11" t="s">
        <v>76</v>
      </c>
    </row>
    <row r="6" spans="1:6" x14ac:dyDescent="0.3">
      <c r="A6" s="12">
        <v>45526</v>
      </c>
      <c r="B6" s="8" t="s">
        <v>67</v>
      </c>
      <c r="C6" s="10">
        <v>41583</v>
      </c>
      <c r="D6" s="10">
        <v>41598</v>
      </c>
      <c r="E6" s="10" t="s">
        <v>75</v>
      </c>
      <c r="F6" s="11" t="s">
        <v>76</v>
      </c>
    </row>
    <row r="7" spans="1:6" x14ac:dyDescent="0.3">
      <c r="A7" s="12">
        <v>45526</v>
      </c>
      <c r="B7" s="8" t="s">
        <v>67</v>
      </c>
      <c r="C7" s="10">
        <v>41583</v>
      </c>
      <c r="D7" s="10">
        <v>41598</v>
      </c>
      <c r="E7" s="10" t="s">
        <v>18</v>
      </c>
      <c r="F7" s="11" t="s">
        <v>76</v>
      </c>
    </row>
    <row r="8" spans="1:6" x14ac:dyDescent="0.3">
      <c r="A8" s="12">
        <v>45526</v>
      </c>
      <c r="B8" s="8" t="s">
        <v>67</v>
      </c>
      <c r="C8" s="10">
        <v>41583</v>
      </c>
      <c r="D8" s="10">
        <v>41598</v>
      </c>
      <c r="E8" s="10" t="s">
        <v>77</v>
      </c>
      <c r="F8" s="11" t="s">
        <v>76</v>
      </c>
    </row>
    <row r="9" spans="1:6" x14ac:dyDescent="0.3">
      <c r="A9" s="12">
        <v>45526</v>
      </c>
      <c r="B9" s="8" t="s">
        <v>67</v>
      </c>
      <c r="C9" s="10">
        <v>41583</v>
      </c>
      <c r="D9" s="10">
        <v>41598</v>
      </c>
      <c r="E9" s="10" t="s">
        <v>78</v>
      </c>
      <c r="F9" s="11" t="s">
        <v>76</v>
      </c>
    </row>
    <row r="10" spans="1:6" x14ac:dyDescent="0.3">
      <c r="A10" s="12">
        <v>45526</v>
      </c>
      <c r="B10" s="8" t="s">
        <v>68</v>
      </c>
      <c r="C10" s="10">
        <v>41982</v>
      </c>
      <c r="D10" s="10">
        <v>41991</v>
      </c>
      <c r="E10" s="5" t="s">
        <v>24</v>
      </c>
      <c r="F10" s="11" t="s">
        <v>76</v>
      </c>
    </row>
    <row r="11" spans="1:6" x14ac:dyDescent="0.3">
      <c r="A11" s="12">
        <v>45526</v>
      </c>
      <c r="B11" s="8" t="s">
        <v>68</v>
      </c>
      <c r="C11" s="10">
        <v>41982</v>
      </c>
      <c r="D11" s="10">
        <v>41991</v>
      </c>
      <c r="E11" s="5" t="s">
        <v>25</v>
      </c>
      <c r="F11" s="11" t="s">
        <v>76</v>
      </c>
    </row>
    <row r="12" spans="1:6" x14ac:dyDescent="0.3">
      <c r="A12" s="12">
        <v>45526</v>
      </c>
      <c r="B12" s="8" t="s">
        <v>68</v>
      </c>
      <c r="C12" s="10">
        <v>41982</v>
      </c>
      <c r="D12" s="10">
        <v>41991</v>
      </c>
      <c r="E12" s="5" t="s">
        <v>26</v>
      </c>
      <c r="F12" s="11" t="s">
        <v>76</v>
      </c>
    </row>
    <row r="13" spans="1:6" x14ac:dyDescent="0.3">
      <c r="A13" s="12">
        <v>45526</v>
      </c>
      <c r="B13" s="8" t="s">
        <v>68</v>
      </c>
      <c r="C13" s="10">
        <v>41982</v>
      </c>
      <c r="D13" s="10">
        <v>41991</v>
      </c>
      <c r="E13" s="5" t="s">
        <v>79</v>
      </c>
      <c r="F13" s="11" t="s">
        <v>76</v>
      </c>
    </row>
    <row r="14" spans="1:6" x14ac:dyDescent="0.3">
      <c r="A14" s="12">
        <v>45526</v>
      </c>
      <c r="B14" s="8" t="s">
        <v>80</v>
      </c>
      <c r="C14" s="10">
        <v>42170</v>
      </c>
      <c r="D14" s="10">
        <v>42242</v>
      </c>
      <c r="E14" s="5" t="s">
        <v>3</v>
      </c>
      <c r="F14" s="11" t="s">
        <v>76</v>
      </c>
    </row>
    <row r="15" spans="1:6" x14ac:dyDescent="0.3">
      <c r="A15" s="12">
        <v>45526</v>
      </c>
      <c r="B15" s="8" t="s">
        <v>80</v>
      </c>
      <c r="C15" s="10">
        <v>42170</v>
      </c>
      <c r="D15" s="10">
        <v>42242</v>
      </c>
      <c r="E15" s="5" t="s">
        <v>4</v>
      </c>
      <c r="F15" s="11" t="s">
        <v>76</v>
      </c>
    </row>
    <row r="16" spans="1:6" x14ac:dyDescent="0.3">
      <c r="A16" s="12">
        <v>45526</v>
      </c>
      <c r="B16" s="8" t="s">
        <v>80</v>
      </c>
      <c r="C16" s="10">
        <v>42170</v>
      </c>
      <c r="D16" s="10">
        <v>42242</v>
      </c>
      <c r="E16" s="5" t="s">
        <v>5</v>
      </c>
      <c r="F16" s="11" t="s">
        <v>76</v>
      </c>
    </row>
    <row r="17" spans="1:6" x14ac:dyDescent="0.3">
      <c r="A17" s="12">
        <v>45526</v>
      </c>
      <c r="B17" s="8" t="s">
        <v>80</v>
      </c>
      <c r="C17" s="10">
        <v>42170</v>
      </c>
      <c r="D17" s="10">
        <v>42242</v>
      </c>
      <c r="E17" s="10" t="s">
        <v>81</v>
      </c>
      <c r="F17" s="11" t="s">
        <v>76</v>
      </c>
    </row>
    <row r="18" spans="1:6" x14ac:dyDescent="0.3">
      <c r="A18" s="12">
        <v>45526</v>
      </c>
      <c r="B18" s="8" t="s">
        <v>80</v>
      </c>
      <c r="C18" s="10">
        <v>42170</v>
      </c>
      <c r="D18" s="10">
        <v>42242</v>
      </c>
      <c r="E18" s="10" t="s">
        <v>82</v>
      </c>
      <c r="F18" s="11" t="s">
        <v>76</v>
      </c>
    </row>
    <row r="19" spans="1:6" x14ac:dyDescent="0.3">
      <c r="A19" s="12">
        <v>45526</v>
      </c>
      <c r="B19" s="8" t="s">
        <v>80</v>
      </c>
      <c r="C19" s="10">
        <v>42170</v>
      </c>
      <c r="D19" s="10">
        <v>42242</v>
      </c>
      <c r="E19" s="5" t="s">
        <v>7</v>
      </c>
      <c r="F19" s="11" t="s">
        <v>76</v>
      </c>
    </row>
    <row r="20" spans="1:6" x14ac:dyDescent="0.3">
      <c r="A20" s="12">
        <v>45526</v>
      </c>
      <c r="B20" s="8" t="s">
        <v>80</v>
      </c>
      <c r="C20" s="10">
        <v>42170</v>
      </c>
      <c r="D20" s="10">
        <v>42242</v>
      </c>
      <c r="E20" s="5" t="s">
        <v>8</v>
      </c>
      <c r="F20" s="11" t="s">
        <v>76</v>
      </c>
    </row>
    <row r="21" spans="1:6" x14ac:dyDescent="0.3">
      <c r="A21" s="12">
        <v>45526</v>
      </c>
      <c r="B21" s="8" t="s">
        <v>69</v>
      </c>
      <c r="C21" s="10">
        <v>42373</v>
      </c>
      <c r="D21" s="10">
        <v>42397</v>
      </c>
      <c r="E21" s="5" t="s">
        <v>24</v>
      </c>
      <c r="F21" s="11" t="s">
        <v>76</v>
      </c>
    </row>
    <row r="22" spans="1:6" x14ac:dyDescent="0.3">
      <c r="A22" s="12">
        <v>45526</v>
      </c>
      <c r="B22" s="8" t="s">
        <v>69</v>
      </c>
      <c r="C22" s="10">
        <v>42373</v>
      </c>
      <c r="D22" s="10">
        <v>42397</v>
      </c>
      <c r="E22" s="5" t="s">
        <v>25</v>
      </c>
      <c r="F22" s="11" t="s">
        <v>76</v>
      </c>
    </row>
    <row r="23" spans="1:6" x14ac:dyDescent="0.3">
      <c r="A23" s="12">
        <v>45526</v>
      </c>
      <c r="B23" s="8" t="s">
        <v>69</v>
      </c>
      <c r="C23" s="10">
        <v>42373</v>
      </c>
      <c r="D23" s="10">
        <v>42397</v>
      </c>
      <c r="E23" s="5" t="s">
        <v>26</v>
      </c>
      <c r="F23" s="11" t="s">
        <v>76</v>
      </c>
    </row>
    <row r="24" spans="1:6" x14ac:dyDescent="0.3">
      <c r="A24" s="12">
        <v>45526</v>
      </c>
      <c r="B24" s="8" t="s">
        <v>69</v>
      </c>
      <c r="C24" s="10">
        <v>42373</v>
      </c>
      <c r="D24" s="10">
        <v>42397</v>
      </c>
      <c r="E24" s="5" t="s">
        <v>79</v>
      </c>
      <c r="F24" s="11" t="s">
        <v>76</v>
      </c>
    </row>
    <row r="25" spans="1:6" x14ac:dyDescent="0.3">
      <c r="A25" s="12">
        <v>45526</v>
      </c>
      <c r="B25" s="8" t="s">
        <v>70</v>
      </c>
      <c r="C25" s="10">
        <v>42466</v>
      </c>
      <c r="D25" s="10">
        <v>42486</v>
      </c>
      <c r="E25" s="10" t="s">
        <v>18</v>
      </c>
      <c r="F25" s="11" t="s">
        <v>76</v>
      </c>
    </row>
    <row r="26" spans="1:6" x14ac:dyDescent="0.3">
      <c r="A26" s="12">
        <v>45526</v>
      </c>
      <c r="B26" s="8" t="s">
        <v>70</v>
      </c>
      <c r="C26" s="10">
        <v>42466</v>
      </c>
      <c r="D26" s="10">
        <v>42486</v>
      </c>
      <c r="E26" s="10" t="s">
        <v>77</v>
      </c>
      <c r="F26" s="11" t="s">
        <v>76</v>
      </c>
    </row>
    <row r="27" spans="1:6" x14ac:dyDescent="0.3">
      <c r="A27" s="12">
        <v>45526</v>
      </c>
      <c r="B27" s="8" t="s">
        <v>70</v>
      </c>
      <c r="C27" s="10">
        <v>42466</v>
      </c>
      <c r="D27" s="10">
        <v>42486</v>
      </c>
      <c r="E27" s="10" t="s">
        <v>78</v>
      </c>
      <c r="F27" s="11" t="s">
        <v>76</v>
      </c>
    </row>
    <row r="28" spans="1:6" x14ac:dyDescent="0.3">
      <c r="A28" s="12">
        <v>45526</v>
      </c>
      <c r="B28" s="9" t="s">
        <v>71</v>
      </c>
      <c r="C28" s="10">
        <v>43220</v>
      </c>
      <c r="D28" s="10">
        <v>43465</v>
      </c>
      <c r="E28" s="5" t="s">
        <v>24</v>
      </c>
      <c r="F28" s="11" t="s">
        <v>76</v>
      </c>
    </row>
    <row r="29" spans="1:6" x14ac:dyDescent="0.3">
      <c r="A29" s="12">
        <v>45526</v>
      </c>
      <c r="B29" s="9" t="s">
        <v>71</v>
      </c>
      <c r="C29" s="10">
        <v>43220</v>
      </c>
      <c r="D29" s="10">
        <v>43465</v>
      </c>
      <c r="E29" s="5" t="s">
        <v>25</v>
      </c>
      <c r="F29" s="11" t="s">
        <v>76</v>
      </c>
    </row>
    <row r="30" spans="1:6" x14ac:dyDescent="0.3">
      <c r="A30" s="12">
        <v>45526</v>
      </c>
      <c r="B30" s="9" t="s">
        <v>71</v>
      </c>
      <c r="C30" s="10">
        <v>43220</v>
      </c>
      <c r="D30" s="10">
        <v>43465</v>
      </c>
      <c r="E30" s="5" t="s">
        <v>26</v>
      </c>
      <c r="F30" s="11" t="s">
        <v>76</v>
      </c>
    </row>
    <row r="31" spans="1:6" x14ac:dyDescent="0.3">
      <c r="A31" s="12">
        <v>45526</v>
      </c>
      <c r="B31" s="9" t="s">
        <v>71</v>
      </c>
      <c r="C31" s="10">
        <v>43220</v>
      </c>
      <c r="D31" s="10">
        <v>43465</v>
      </c>
      <c r="E31" s="5" t="s">
        <v>79</v>
      </c>
      <c r="F31" s="11" t="s">
        <v>76</v>
      </c>
    </row>
    <row r="32" spans="1:6" x14ac:dyDescent="0.3">
      <c r="A32" s="12">
        <v>45526</v>
      </c>
      <c r="B32" s="9" t="s">
        <v>72</v>
      </c>
      <c r="C32" s="10">
        <v>43980</v>
      </c>
      <c r="D32" s="10">
        <v>44196</v>
      </c>
      <c r="E32" s="5" t="s">
        <v>24</v>
      </c>
      <c r="F32" s="11" t="s">
        <v>76</v>
      </c>
    </row>
    <row r="33" spans="1:6" x14ac:dyDescent="0.3">
      <c r="A33" s="12">
        <v>45526</v>
      </c>
      <c r="B33" s="9" t="s">
        <v>72</v>
      </c>
      <c r="C33" s="10">
        <v>43980</v>
      </c>
      <c r="D33" s="10">
        <v>44196</v>
      </c>
      <c r="E33" s="5" t="s">
        <v>25</v>
      </c>
      <c r="F33" s="11" t="s">
        <v>76</v>
      </c>
    </row>
    <row r="34" spans="1:6" x14ac:dyDescent="0.3">
      <c r="A34" s="12">
        <v>45526</v>
      </c>
      <c r="B34" s="9" t="s">
        <v>72</v>
      </c>
      <c r="C34" s="10">
        <v>43980</v>
      </c>
      <c r="D34" s="10">
        <v>44196</v>
      </c>
      <c r="E34" s="5" t="s">
        <v>26</v>
      </c>
      <c r="F34" s="11" t="s">
        <v>76</v>
      </c>
    </row>
    <row r="35" spans="1:6" x14ac:dyDescent="0.3">
      <c r="A35" s="12">
        <v>45526</v>
      </c>
      <c r="B35" s="9" t="s">
        <v>72</v>
      </c>
      <c r="C35" s="10">
        <v>43980</v>
      </c>
      <c r="D35" s="10">
        <v>44196</v>
      </c>
      <c r="E35" s="5" t="s">
        <v>79</v>
      </c>
      <c r="F35" s="11" t="s">
        <v>76</v>
      </c>
    </row>
    <row r="36" spans="1:6" x14ac:dyDescent="0.3">
      <c r="A36" s="12">
        <v>45526</v>
      </c>
      <c r="B36" s="9" t="s">
        <v>73</v>
      </c>
      <c r="C36" s="10">
        <v>43847</v>
      </c>
      <c r="D36" s="10">
        <v>43948</v>
      </c>
      <c r="E36" s="10" t="s">
        <v>75</v>
      </c>
      <c r="F36" s="11" t="s">
        <v>76</v>
      </c>
    </row>
    <row r="37" spans="1:6" x14ac:dyDescent="0.3">
      <c r="A37" s="12">
        <v>45526</v>
      </c>
      <c r="B37" s="9" t="s">
        <v>73</v>
      </c>
      <c r="C37" s="10">
        <v>43847</v>
      </c>
      <c r="D37" s="10">
        <v>43948</v>
      </c>
      <c r="E37" s="10" t="s">
        <v>18</v>
      </c>
      <c r="F37" s="11" t="s">
        <v>76</v>
      </c>
    </row>
    <row r="38" spans="1:6" x14ac:dyDescent="0.3">
      <c r="A38" s="12">
        <v>45526</v>
      </c>
      <c r="B38" s="9" t="s">
        <v>73</v>
      </c>
      <c r="C38" s="10">
        <v>43847</v>
      </c>
      <c r="D38" s="10">
        <v>43948</v>
      </c>
      <c r="E38" s="10" t="s">
        <v>77</v>
      </c>
      <c r="F38" s="11" t="s">
        <v>76</v>
      </c>
    </row>
    <row r="39" spans="1:6" x14ac:dyDescent="0.3">
      <c r="A39" s="12">
        <v>45526</v>
      </c>
      <c r="B39" s="9" t="s">
        <v>73</v>
      </c>
      <c r="C39" s="10">
        <v>43847</v>
      </c>
      <c r="D39" s="10">
        <v>43948</v>
      </c>
      <c r="E39" s="10" t="s">
        <v>78</v>
      </c>
      <c r="F39" s="11" t="s">
        <v>76</v>
      </c>
    </row>
    <row r="40" spans="1:6" x14ac:dyDescent="0.3">
      <c r="A40" s="12">
        <v>45526</v>
      </c>
      <c r="B40" s="9" t="s">
        <v>73</v>
      </c>
      <c r="C40" s="10">
        <v>43847</v>
      </c>
      <c r="D40" s="10">
        <v>43948</v>
      </c>
      <c r="E40" s="5" t="s">
        <v>3</v>
      </c>
      <c r="F40" s="11" t="s">
        <v>76</v>
      </c>
    </row>
    <row r="41" spans="1:6" x14ac:dyDescent="0.3">
      <c r="A41" s="12">
        <v>45526</v>
      </c>
      <c r="B41" s="9" t="s">
        <v>73</v>
      </c>
      <c r="C41" s="10">
        <v>43847</v>
      </c>
      <c r="D41" s="10">
        <v>43948</v>
      </c>
      <c r="E41" s="5" t="s">
        <v>4</v>
      </c>
      <c r="F41" s="11" t="s">
        <v>76</v>
      </c>
    </row>
    <row r="42" spans="1:6" x14ac:dyDescent="0.3">
      <c r="A42" s="12">
        <v>45526</v>
      </c>
      <c r="B42" s="9" t="s">
        <v>73</v>
      </c>
      <c r="C42" s="10">
        <v>43847</v>
      </c>
      <c r="D42" s="10">
        <v>43948</v>
      </c>
      <c r="E42" s="5" t="s">
        <v>5</v>
      </c>
      <c r="F42" s="11" t="s">
        <v>76</v>
      </c>
    </row>
    <row r="43" spans="1:6" x14ac:dyDescent="0.3">
      <c r="A43" s="12">
        <v>45526</v>
      </c>
      <c r="B43" s="9" t="s">
        <v>73</v>
      </c>
      <c r="C43" s="10">
        <v>43847</v>
      </c>
      <c r="D43" s="10">
        <v>43948</v>
      </c>
      <c r="E43" s="10" t="s">
        <v>81</v>
      </c>
      <c r="F43" s="11" t="s">
        <v>76</v>
      </c>
    </row>
    <row r="44" spans="1:6" x14ac:dyDescent="0.3">
      <c r="A44" s="12">
        <v>45526</v>
      </c>
      <c r="B44" s="9" t="s">
        <v>73</v>
      </c>
      <c r="C44" s="10">
        <v>43847</v>
      </c>
      <c r="D44" s="10">
        <v>43948</v>
      </c>
      <c r="E44" s="10" t="s">
        <v>82</v>
      </c>
      <c r="F44" s="11" t="s">
        <v>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C75F-33FC-4E2A-A123-A15B5E075599}">
  <dimension ref="A1:G15"/>
  <sheetViews>
    <sheetView workbookViewId="0">
      <selection sqref="A1:G15"/>
    </sheetView>
  </sheetViews>
  <sheetFormatPr defaultRowHeight="14" x14ac:dyDescent="0.3"/>
  <cols>
    <col min="1" max="1" width="16.33203125" customWidth="1"/>
    <col min="2" max="2" width="14.33203125" bestFit="1" customWidth="1"/>
    <col min="3" max="3" width="10.4140625" bestFit="1" customWidth="1"/>
    <col min="4" max="4" width="26.25" customWidth="1"/>
    <col min="5" max="5" width="14.33203125" bestFit="1" customWidth="1"/>
    <col min="6" max="6" width="16.25" bestFit="1" customWidth="1"/>
  </cols>
  <sheetData>
    <row r="1" spans="1:7" x14ac:dyDescent="0.3">
      <c r="A1" s="11" t="s">
        <v>84</v>
      </c>
      <c r="B1" s="11" t="s">
        <v>74</v>
      </c>
      <c r="C1" s="11" t="s">
        <v>85</v>
      </c>
      <c r="D1" s="11" t="s">
        <v>86</v>
      </c>
      <c r="E1" s="11" t="s">
        <v>88</v>
      </c>
      <c r="F1" s="11" t="s">
        <v>89</v>
      </c>
      <c r="G1" s="8" t="s">
        <v>61</v>
      </c>
    </row>
    <row r="2" spans="1:7" x14ac:dyDescent="0.3">
      <c r="A2" s="12">
        <v>45526</v>
      </c>
      <c r="B2" s="10" t="s">
        <v>75</v>
      </c>
      <c r="C2" s="11" t="s">
        <v>87</v>
      </c>
      <c r="D2" s="9" t="s">
        <v>66</v>
      </c>
      <c r="E2" s="12">
        <v>45504</v>
      </c>
      <c r="F2" s="11" t="s">
        <v>90</v>
      </c>
      <c r="G2" s="11" t="s">
        <v>76</v>
      </c>
    </row>
    <row r="3" spans="1:7" x14ac:dyDescent="0.3">
      <c r="A3" s="12">
        <v>45526</v>
      </c>
      <c r="B3" s="10" t="s">
        <v>18</v>
      </c>
      <c r="C3" s="11" t="s">
        <v>87</v>
      </c>
      <c r="D3" s="9" t="s">
        <v>66</v>
      </c>
      <c r="E3" s="12">
        <v>45504</v>
      </c>
      <c r="F3" s="11" t="s">
        <v>90</v>
      </c>
      <c r="G3" s="11" t="s">
        <v>76</v>
      </c>
    </row>
    <row r="4" spans="1:7" x14ac:dyDescent="0.3">
      <c r="A4" s="12">
        <v>45526</v>
      </c>
      <c r="B4" s="10" t="s">
        <v>77</v>
      </c>
      <c r="C4" s="11" t="s">
        <v>87</v>
      </c>
      <c r="D4" s="9" t="s">
        <v>66</v>
      </c>
      <c r="E4" s="12">
        <v>45504</v>
      </c>
      <c r="F4" s="11" t="s">
        <v>90</v>
      </c>
      <c r="G4" s="11" t="s">
        <v>76</v>
      </c>
    </row>
    <row r="5" spans="1:7" x14ac:dyDescent="0.3">
      <c r="A5" s="12">
        <v>45526</v>
      </c>
      <c r="B5" s="10" t="s">
        <v>78</v>
      </c>
      <c r="C5" s="11" t="s">
        <v>87</v>
      </c>
      <c r="D5" s="9" t="s">
        <v>83</v>
      </c>
      <c r="E5" s="12">
        <v>45504</v>
      </c>
      <c r="F5" s="11" t="s">
        <v>90</v>
      </c>
      <c r="G5" s="11" t="s">
        <v>76</v>
      </c>
    </row>
    <row r="6" spans="1:7" x14ac:dyDescent="0.3">
      <c r="A6" s="12">
        <v>45526</v>
      </c>
      <c r="B6" s="10" t="s">
        <v>75</v>
      </c>
      <c r="C6" s="11" t="s">
        <v>87</v>
      </c>
      <c r="D6" s="9" t="s">
        <v>66</v>
      </c>
      <c r="E6" s="12">
        <v>45504</v>
      </c>
      <c r="F6" s="11" t="s">
        <v>91</v>
      </c>
      <c r="G6" s="11" t="s">
        <v>76</v>
      </c>
    </row>
    <row r="7" spans="1:7" x14ac:dyDescent="0.3">
      <c r="A7" s="12">
        <v>45526</v>
      </c>
      <c r="B7" s="10" t="s">
        <v>18</v>
      </c>
      <c r="C7" s="11" t="s">
        <v>87</v>
      </c>
      <c r="D7" s="9" t="s">
        <v>66</v>
      </c>
      <c r="E7" s="12">
        <v>45504</v>
      </c>
      <c r="F7" s="11" t="s">
        <v>91</v>
      </c>
      <c r="G7" s="11" t="s">
        <v>76</v>
      </c>
    </row>
    <row r="8" spans="1:7" x14ac:dyDescent="0.3">
      <c r="A8" s="12">
        <v>45526</v>
      </c>
      <c r="B8" s="10" t="s">
        <v>77</v>
      </c>
      <c r="C8" s="11" t="s">
        <v>87</v>
      </c>
      <c r="D8" s="9" t="s">
        <v>66</v>
      </c>
      <c r="E8" s="12">
        <v>45504</v>
      </c>
      <c r="F8" s="11" t="s">
        <v>91</v>
      </c>
      <c r="G8" s="11" t="s">
        <v>76</v>
      </c>
    </row>
    <row r="9" spans="1:7" x14ac:dyDescent="0.3">
      <c r="A9" s="12">
        <v>45537</v>
      </c>
      <c r="B9" s="10" t="s">
        <v>78</v>
      </c>
      <c r="C9" s="11" t="s">
        <v>87</v>
      </c>
      <c r="D9" s="9" t="s">
        <v>83</v>
      </c>
      <c r="E9" s="12">
        <v>45504</v>
      </c>
      <c r="F9" s="11" t="s">
        <v>91</v>
      </c>
      <c r="G9" s="11" t="s">
        <v>76</v>
      </c>
    </row>
    <row r="10" spans="1:7" x14ac:dyDescent="0.3">
      <c r="A10" s="12">
        <v>45537</v>
      </c>
      <c r="B10" s="5" t="s">
        <v>3</v>
      </c>
      <c r="C10" s="11" t="s">
        <v>92</v>
      </c>
      <c r="D10" s="11" t="s">
        <v>95</v>
      </c>
      <c r="E10" s="12">
        <v>45534</v>
      </c>
      <c r="F10" s="11" t="s">
        <v>90</v>
      </c>
      <c r="G10" s="11" t="s">
        <v>76</v>
      </c>
    </row>
    <row r="11" spans="1:7" x14ac:dyDescent="0.3">
      <c r="A11" s="12">
        <v>45537</v>
      </c>
      <c r="B11" s="5" t="s">
        <v>4</v>
      </c>
      <c r="C11" s="11" t="s">
        <v>92</v>
      </c>
      <c r="D11" s="11" t="s">
        <v>93</v>
      </c>
      <c r="E11" s="12">
        <v>45534</v>
      </c>
      <c r="F11" s="11" t="s">
        <v>90</v>
      </c>
      <c r="G11" s="11" t="s">
        <v>76</v>
      </c>
    </row>
    <row r="12" spans="1:7" x14ac:dyDescent="0.3">
      <c r="A12" s="12">
        <v>45537</v>
      </c>
      <c r="B12" s="5" t="s">
        <v>5</v>
      </c>
      <c r="C12" s="11" t="s">
        <v>92</v>
      </c>
      <c r="D12" s="11" t="s">
        <v>96</v>
      </c>
      <c r="E12" s="12">
        <v>45534</v>
      </c>
      <c r="F12" s="11" t="s">
        <v>90</v>
      </c>
      <c r="G12" s="11" t="s">
        <v>76</v>
      </c>
    </row>
    <row r="13" spans="1:7" x14ac:dyDescent="0.3">
      <c r="A13" s="12">
        <v>45537</v>
      </c>
      <c r="B13" s="5" t="s">
        <v>3</v>
      </c>
      <c r="C13" s="11" t="s">
        <v>92</v>
      </c>
      <c r="D13" s="11" t="s">
        <v>95</v>
      </c>
      <c r="E13" s="12">
        <v>45534</v>
      </c>
      <c r="F13" s="11" t="s">
        <v>97</v>
      </c>
      <c r="G13" s="11" t="s">
        <v>76</v>
      </c>
    </row>
    <row r="14" spans="1:7" x14ac:dyDescent="0.3">
      <c r="A14" s="12">
        <v>45537</v>
      </c>
      <c r="B14" s="5" t="s">
        <v>4</v>
      </c>
      <c r="C14" s="11" t="s">
        <v>92</v>
      </c>
      <c r="D14" s="11" t="s">
        <v>93</v>
      </c>
      <c r="E14" s="12">
        <v>45534</v>
      </c>
      <c r="F14" s="11" t="s">
        <v>97</v>
      </c>
      <c r="G14" s="11" t="s">
        <v>76</v>
      </c>
    </row>
    <row r="15" spans="1:7" x14ac:dyDescent="0.3">
      <c r="A15" s="12">
        <v>45537</v>
      </c>
      <c r="B15" s="5" t="s">
        <v>5</v>
      </c>
      <c r="C15" s="11" t="s">
        <v>92</v>
      </c>
      <c r="D15" s="11" t="s">
        <v>96</v>
      </c>
      <c r="E15" s="12">
        <v>45534</v>
      </c>
      <c r="F15" s="11" t="s">
        <v>97</v>
      </c>
      <c r="G15" s="11" t="s">
        <v>76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1D17-2B39-44D2-BD88-F01FFCBFB219}">
  <dimension ref="A1:H44"/>
  <sheetViews>
    <sheetView workbookViewId="0">
      <selection activeCell="H15" sqref="A1:H15"/>
    </sheetView>
  </sheetViews>
  <sheetFormatPr defaultRowHeight="14" x14ac:dyDescent="0.3"/>
  <cols>
    <col min="1" max="1" width="13.9140625" style="11" bestFit="1" customWidth="1"/>
    <col min="2" max="2" width="15.08203125" style="11" customWidth="1"/>
    <col min="3" max="3" width="14.33203125" style="7" bestFit="1" customWidth="1"/>
    <col min="4" max="4" width="12.1640625" style="7" customWidth="1"/>
    <col min="5" max="5" width="27.08203125" style="7" bestFit="1" customWidth="1"/>
    <col min="6" max="6" width="15.25" style="7" customWidth="1"/>
    <col min="7" max="7" width="16.25" style="7" bestFit="1" customWidth="1"/>
    <col min="8" max="8" width="8.6640625" style="11"/>
  </cols>
  <sheetData>
    <row r="1" spans="1:8" x14ac:dyDescent="0.3">
      <c r="A1" s="11" t="s">
        <v>84</v>
      </c>
      <c r="B1" s="11" t="s">
        <v>98</v>
      </c>
      <c r="C1" s="11" t="s">
        <v>74</v>
      </c>
      <c r="D1" s="11" t="s">
        <v>85</v>
      </c>
      <c r="E1" s="11" t="s">
        <v>86</v>
      </c>
      <c r="F1" s="11" t="s">
        <v>88</v>
      </c>
      <c r="G1" s="11" t="s">
        <v>89</v>
      </c>
      <c r="H1" s="8" t="s">
        <v>61</v>
      </c>
    </row>
    <row r="2" spans="1:8" x14ac:dyDescent="0.3">
      <c r="A2" s="12">
        <v>45526</v>
      </c>
      <c r="B2" s="12" t="s">
        <v>99</v>
      </c>
      <c r="C2" s="10" t="s">
        <v>75</v>
      </c>
      <c r="D2" s="11" t="s">
        <v>87</v>
      </c>
      <c r="E2" s="9" t="s">
        <v>66</v>
      </c>
      <c r="F2" s="12">
        <v>45504</v>
      </c>
      <c r="G2" s="11" t="s">
        <v>90</v>
      </c>
      <c r="H2" s="11" t="s">
        <v>76</v>
      </c>
    </row>
    <row r="3" spans="1:8" x14ac:dyDescent="0.3">
      <c r="A3" s="12">
        <v>45526</v>
      </c>
      <c r="B3" s="12" t="s">
        <v>99</v>
      </c>
      <c r="C3" s="10" t="s">
        <v>18</v>
      </c>
      <c r="D3" s="11" t="s">
        <v>87</v>
      </c>
      <c r="E3" s="9" t="s">
        <v>66</v>
      </c>
      <c r="F3" s="12">
        <v>45504</v>
      </c>
      <c r="G3" s="11" t="s">
        <v>90</v>
      </c>
      <c r="H3" s="11" t="s">
        <v>76</v>
      </c>
    </row>
    <row r="4" spans="1:8" x14ac:dyDescent="0.3">
      <c r="A4" s="12">
        <v>45526</v>
      </c>
      <c r="B4" s="12" t="s">
        <v>99</v>
      </c>
      <c r="C4" s="10" t="s">
        <v>77</v>
      </c>
      <c r="D4" s="11" t="s">
        <v>87</v>
      </c>
      <c r="E4" s="9" t="s">
        <v>66</v>
      </c>
      <c r="F4" s="12">
        <v>45504</v>
      </c>
      <c r="G4" s="11" t="s">
        <v>90</v>
      </c>
      <c r="H4" s="11" t="s">
        <v>76</v>
      </c>
    </row>
    <row r="5" spans="1:8" x14ac:dyDescent="0.3">
      <c r="A5" s="12">
        <v>45526</v>
      </c>
      <c r="B5" s="12" t="s">
        <v>99</v>
      </c>
      <c r="C5" s="10" t="s">
        <v>78</v>
      </c>
      <c r="D5" s="11" t="s">
        <v>87</v>
      </c>
      <c r="E5" s="9" t="s">
        <v>83</v>
      </c>
      <c r="F5" s="12">
        <v>45504</v>
      </c>
      <c r="G5" s="11" t="s">
        <v>90</v>
      </c>
      <c r="H5" s="11" t="s">
        <v>76</v>
      </c>
    </row>
    <row r="6" spans="1:8" x14ac:dyDescent="0.3">
      <c r="A6" s="12">
        <v>45526</v>
      </c>
      <c r="B6" s="12" t="s">
        <v>100</v>
      </c>
      <c r="C6" s="10" t="s">
        <v>75</v>
      </c>
      <c r="D6" s="11" t="s">
        <v>87</v>
      </c>
      <c r="E6" s="9" t="s">
        <v>66</v>
      </c>
      <c r="F6" s="12">
        <v>45504</v>
      </c>
      <c r="G6" s="11" t="s">
        <v>91</v>
      </c>
      <c r="H6" s="11" t="s">
        <v>76</v>
      </c>
    </row>
    <row r="7" spans="1:8" x14ac:dyDescent="0.3">
      <c r="A7" s="12">
        <v>45526</v>
      </c>
      <c r="B7" s="12" t="s">
        <v>100</v>
      </c>
      <c r="C7" s="10" t="s">
        <v>18</v>
      </c>
      <c r="D7" s="11" t="s">
        <v>87</v>
      </c>
      <c r="E7" s="9" t="s">
        <v>66</v>
      </c>
      <c r="F7" s="12">
        <v>45504</v>
      </c>
      <c r="G7" s="11" t="s">
        <v>91</v>
      </c>
      <c r="H7" s="11" t="s">
        <v>76</v>
      </c>
    </row>
    <row r="8" spans="1:8" x14ac:dyDescent="0.3">
      <c r="A8" s="12">
        <v>45526</v>
      </c>
      <c r="B8" s="12" t="s">
        <v>100</v>
      </c>
      <c r="C8" s="10" t="s">
        <v>77</v>
      </c>
      <c r="D8" s="11" t="s">
        <v>87</v>
      </c>
      <c r="E8" s="9" t="s">
        <v>66</v>
      </c>
      <c r="F8" s="12">
        <v>45504</v>
      </c>
      <c r="G8" s="11" t="s">
        <v>91</v>
      </c>
      <c r="H8" s="11" t="s">
        <v>76</v>
      </c>
    </row>
    <row r="9" spans="1:8" x14ac:dyDescent="0.3">
      <c r="A9" s="12">
        <v>45537</v>
      </c>
      <c r="B9" s="12" t="s">
        <v>100</v>
      </c>
      <c r="C9" s="10" t="s">
        <v>78</v>
      </c>
      <c r="D9" s="11" t="s">
        <v>87</v>
      </c>
      <c r="E9" s="9" t="s">
        <v>83</v>
      </c>
      <c r="F9" s="12">
        <v>45504</v>
      </c>
      <c r="G9" s="11" t="s">
        <v>91</v>
      </c>
      <c r="H9" s="11" t="s">
        <v>76</v>
      </c>
    </row>
    <row r="10" spans="1:8" x14ac:dyDescent="0.3">
      <c r="A10" s="12">
        <v>45537</v>
      </c>
      <c r="B10" s="12" t="s">
        <v>101</v>
      </c>
      <c r="C10" s="5" t="s">
        <v>3</v>
      </c>
      <c r="D10" s="11" t="s">
        <v>92</v>
      </c>
      <c r="E10" s="11" t="s">
        <v>95</v>
      </c>
      <c r="F10" s="12">
        <v>45534</v>
      </c>
      <c r="G10" s="11" t="s">
        <v>90</v>
      </c>
      <c r="H10" s="11" t="s">
        <v>76</v>
      </c>
    </row>
    <row r="11" spans="1:8" x14ac:dyDescent="0.3">
      <c r="A11" s="12">
        <v>45537</v>
      </c>
      <c r="B11" s="12" t="s">
        <v>101</v>
      </c>
      <c r="C11" s="5" t="s">
        <v>4</v>
      </c>
      <c r="D11" s="11" t="s">
        <v>92</v>
      </c>
      <c r="E11" s="11" t="s">
        <v>94</v>
      </c>
      <c r="F11" s="12">
        <v>45534</v>
      </c>
      <c r="G11" s="11" t="s">
        <v>90</v>
      </c>
      <c r="H11" s="11" t="s">
        <v>76</v>
      </c>
    </row>
    <row r="12" spans="1:8" x14ac:dyDescent="0.3">
      <c r="A12" s="12">
        <v>45537</v>
      </c>
      <c r="B12" s="12" t="s">
        <v>101</v>
      </c>
      <c r="C12" s="5" t="s">
        <v>5</v>
      </c>
      <c r="D12" s="11" t="s">
        <v>92</v>
      </c>
      <c r="E12" s="11" t="s">
        <v>96</v>
      </c>
      <c r="F12" s="12">
        <v>45534</v>
      </c>
      <c r="G12" s="11" t="s">
        <v>90</v>
      </c>
      <c r="H12" s="11" t="s">
        <v>76</v>
      </c>
    </row>
    <row r="13" spans="1:8" x14ac:dyDescent="0.3">
      <c r="A13" s="12">
        <v>45537</v>
      </c>
      <c r="B13" s="12" t="s">
        <v>99</v>
      </c>
      <c r="C13" s="5" t="s">
        <v>3</v>
      </c>
      <c r="D13" s="11" t="s">
        <v>92</v>
      </c>
      <c r="E13" s="11" t="s">
        <v>95</v>
      </c>
      <c r="F13" s="12">
        <v>45534</v>
      </c>
      <c r="G13" s="11" t="s">
        <v>97</v>
      </c>
      <c r="H13" s="11" t="s">
        <v>76</v>
      </c>
    </row>
    <row r="14" spans="1:8" x14ac:dyDescent="0.3">
      <c r="A14" s="12">
        <v>45537</v>
      </c>
      <c r="B14" s="12" t="s">
        <v>99</v>
      </c>
      <c r="C14" s="5" t="s">
        <v>4</v>
      </c>
      <c r="D14" s="11" t="s">
        <v>92</v>
      </c>
      <c r="E14" s="11" t="s">
        <v>94</v>
      </c>
      <c r="F14" s="12">
        <v>45534</v>
      </c>
      <c r="G14" s="11" t="s">
        <v>97</v>
      </c>
      <c r="H14" s="11" t="s">
        <v>76</v>
      </c>
    </row>
    <row r="15" spans="1:8" x14ac:dyDescent="0.3">
      <c r="A15" s="12">
        <v>45537</v>
      </c>
      <c r="B15" s="12" t="s">
        <v>99</v>
      </c>
      <c r="C15" s="5" t="s">
        <v>5</v>
      </c>
      <c r="D15" s="11" t="s">
        <v>92</v>
      </c>
      <c r="E15" s="11" t="s">
        <v>96</v>
      </c>
      <c r="F15" s="12">
        <v>45534</v>
      </c>
      <c r="G15" s="11" t="s">
        <v>97</v>
      </c>
      <c r="H15" s="11" t="s">
        <v>76</v>
      </c>
    </row>
    <row r="16" spans="1:8" x14ac:dyDescent="0.3">
      <c r="A16" s="12"/>
      <c r="B16" s="12"/>
    </row>
    <row r="17" spans="1:2" x14ac:dyDescent="0.3">
      <c r="A17" s="12"/>
      <c r="B17" s="12"/>
    </row>
    <row r="18" spans="1:2" x14ac:dyDescent="0.3">
      <c r="A18" s="12"/>
      <c r="B18" s="12"/>
    </row>
    <row r="19" spans="1:2" x14ac:dyDescent="0.3">
      <c r="A19" s="12"/>
      <c r="B19" s="12"/>
    </row>
    <row r="20" spans="1:2" x14ac:dyDescent="0.3">
      <c r="A20" s="12"/>
      <c r="B20" s="12"/>
    </row>
    <row r="21" spans="1:2" x14ac:dyDescent="0.3">
      <c r="A21" s="12"/>
      <c r="B21" s="12"/>
    </row>
    <row r="22" spans="1:2" x14ac:dyDescent="0.3">
      <c r="A22" s="12"/>
      <c r="B22" s="12"/>
    </row>
    <row r="23" spans="1:2" x14ac:dyDescent="0.3">
      <c r="A23" s="12"/>
      <c r="B23" s="12"/>
    </row>
    <row r="24" spans="1:2" x14ac:dyDescent="0.3">
      <c r="A24" s="12"/>
      <c r="B24" s="12"/>
    </row>
    <row r="25" spans="1:2" x14ac:dyDescent="0.3">
      <c r="A25" s="12"/>
      <c r="B25" s="12"/>
    </row>
    <row r="26" spans="1:2" x14ac:dyDescent="0.3">
      <c r="A26" s="12"/>
      <c r="B26" s="12"/>
    </row>
    <row r="27" spans="1:2" x14ac:dyDescent="0.3">
      <c r="A27" s="12"/>
      <c r="B27" s="12"/>
    </row>
    <row r="28" spans="1:2" x14ac:dyDescent="0.3">
      <c r="A28" s="12"/>
      <c r="B28" s="12"/>
    </row>
    <row r="29" spans="1:2" x14ac:dyDescent="0.3">
      <c r="A29" s="12"/>
      <c r="B29" s="12"/>
    </row>
    <row r="30" spans="1:2" x14ac:dyDescent="0.3">
      <c r="A30" s="12"/>
      <c r="B30" s="12"/>
    </row>
    <row r="31" spans="1:2" x14ac:dyDescent="0.3">
      <c r="A31" s="12"/>
      <c r="B31" s="12"/>
    </row>
    <row r="32" spans="1:2" x14ac:dyDescent="0.3">
      <c r="A32" s="12"/>
      <c r="B32" s="12"/>
    </row>
    <row r="33" spans="1:2" x14ac:dyDescent="0.3">
      <c r="A33" s="12"/>
      <c r="B33" s="12"/>
    </row>
    <row r="34" spans="1:2" x14ac:dyDescent="0.3">
      <c r="A34" s="12"/>
      <c r="B34" s="12"/>
    </row>
    <row r="35" spans="1:2" x14ac:dyDescent="0.3">
      <c r="A35" s="12"/>
      <c r="B35" s="12"/>
    </row>
    <row r="36" spans="1:2" x14ac:dyDescent="0.3">
      <c r="A36" s="12"/>
      <c r="B36" s="12"/>
    </row>
    <row r="37" spans="1:2" x14ac:dyDescent="0.3">
      <c r="A37" s="12"/>
      <c r="B37" s="12"/>
    </row>
    <row r="38" spans="1:2" x14ac:dyDescent="0.3">
      <c r="A38" s="12"/>
      <c r="B38" s="12"/>
    </row>
    <row r="39" spans="1:2" x14ac:dyDescent="0.3">
      <c r="A39" s="12"/>
      <c r="B39" s="12"/>
    </row>
    <row r="40" spans="1:2" x14ac:dyDescent="0.3">
      <c r="A40" s="12"/>
      <c r="B40" s="12"/>
    </row>
    <row r="41" spans="1:2" x14ac:dyDescent="0.3">
      <c r="A41" s="12"/>
      <c r="B41" s="12"/>
    </row>
    <row r="42" spans="1:2" x14ac:dyDescent="0.3">
      <c r="A42" s="12"/>
      <c r="B42" s="12"/>
    </row>
    <row r="43" spans="1:2" x14ac:dyDescent="0.3">
      <c r="A43" s="12"/>
      <c r="B43" s="12"/>
    </row>
    <row r="44" spans="1:2" x14ac:dyDescent="0.3">
      <c r="A44" s="12"/>
      <c r="B44" s="1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887B-E6A3-424B-AD8D-BBB259762AE3}">
  <dimension ref="A1:H15"/>
  <sheetViews>
    <sheetView workbookViewId="0">
      <selection activeCell="H12" sqref="A1:H12"/>
    </sheetView>
  </sheetViews>
  <sheetFormatPr defaultRowHeight="14" x14ac:dyDescent="0.3"/>
  <cols>
    <col min="1" max="3" width="14.33203125" bestFit="1" customWidth="1"/>
    <col min="4" max="4" width="10.4140625" bestFit="1" customWidth="1"/>
    <col min="5" max="5" width="27.08203125" bestFit="1" customWidth="1"/>
    <col min="6" max="6" width="14.33203125" bestFit="1" customWidth="1"/>
    <col min="7" max="7" width="16.25" bestFit="1" customWidth="1"/>
  </cols>
  <sheetData>
    <row r="1" spans="1:8" x14ac:dyDescent="0.3">
      <c r="A1" s="11" t="s">
        <v>84</v>
      </c>
      <c r="B1" s="11" t="s">
        <v>106</v>
      </c>
      <c r="C1" s="11" t="s">
        <v>74</v>
      </c>
      <c r="D1" s="11" t="s">
        <v>85</v>
      </c>
      <c r="E1" s="11" t="s">
        <v>86</v>
      </c>
      <c r="F1" s="11" t="s">
        <v>88</v>
      </c>
      <c r="G1" s="11" t="s">
        <v>89</v>
      </c>
      <c r="H1" s="8" t="s">
        <v>61</v>
      </c>
    </row>
    <row r="2" spans="1:8" x14ac:dyDescent="0.3">
      <c r="A2" s="12">
        <v>45526</v>
      </c>
      <c r="B2" s="12" t="s">
        <v>102</v>
      </c>
      <c r="C2" s="10" t="s">
        <v>75</v>
      </c>
      <c r="D2" s="11" t="s">
        <v>87</v>
      </c>
      <c r="E2" s="9" t="s">
        <v>66</v>
      </c>
      <c r="F2" s="12">
        <v>45504</v>
      </c>
      <c r="G2" s="11" t="s">
        <v>90</v>
      </c>
      <c r="H2" s="11" t="s">
        <v>76</v>
      </c>
    </row>
    <row r="3" spans="1:8" x14ac:dyDescent="0.3">
      <c r="A3" s="12">
        <v>45526</v>
      </c>
      <c r="B3" s="12" t="s">
        <v>102</v>
      </c>
      <c r="C3" s="10" t="s">
        <v>18</v>
      </c>
      <c r="D3" s="11" t="s">
        <v>87</v>
      </c>
      <c r="E3" s="9" t="s">
        <v>66</v>
      </c>
      <c r="F3" s="12">
        <v>45504</v>
      </c>
      <c r="G3" s="11" t="s">
        <v>90</v>
      </c>
      <c r="H3" s="11" t="s">
        <v>76</v>
      </c>
    </row>
    <row r="4" spans="1:8" x14ac:dyDescent="0.3">
      <c r="A4" s="12">
        <v>45526</v>
      </c>
      <c r="B4" s="12" t="s">
        <v>102</v>
      </c>
      <c r="C4" s="10" t="s">
        <v>77</v>
      </c>
      <c r="D4" s="11" t="s">
        <v>87</v>
      </c>
      <c r="E4" s="9" t="s">
        <v>66</v>
      </c>
      <c r="F4" s="12">
        <v>45504</v>
      </c>
      <c r="G4" s="11" t="s">
        <v>90</v>
      </c>
      <c r="H4" s="11" t="s">
        <v>76</v>
      </c>
    </row>
    <row r="5" spans="1:8" x14ac:dyDescent="0.3">
      <c r="A5" s="12">
        <v>45526</v>
      </c>
      <c r="B5" s="12" t="s">
        <v>102</v>
      </c>
      <c r="C5" s="10" t="s">
        <v>78</v>
      </c>
      <c r="D5" s="11" t="s">
        <v>87</v>
      </c>
      <c r="E5" s="9" t="s">
        <v>83</v>
      </c>
      <c r="F5" s="12">
        <v>45504</v>
      </c>
      <c r="G5" s="11" t="s">
        <v>90</v>
      </c>
      <c r="H5" s="11" t="s">
        <v>76</v>
      </c>
    </row>
    <row r="6" spans="1:8" x14ac:dyDescent="0.3">
      <c r="A6" s="12">
        <v>45526</v>
      </c>
      <c r="B6" s="12" t="s">
        <v>103</v>
      </c>
      <c r="C6" s="1" t="s">
        <v>24</v>
      </c>
      <c r="D6" s="11" t="s">
        <v>87</v>
      </c>
      <c r="E6" s="8" t="s">
        <v>68</v>
      </c>
      <c r="F6" s="12">
        <v>45504</v>
      </c>
      <c r="G6" s="11" t="s">
        <v>90</v>
      </c>
      <c r="H6" s="11" t="s">
        <v>76</v>
      </c>
    </row>
    <row r="7" spans="1:8" x14ac:dyDescent="0.3">
      <c r="A7" s="12">
        <v>45526</v>
      </c>
      <c r="B7" s="12" t="s">
        <v>103</v>
      </c>
      <c r="C7" s="1" t="s">
        <v>25</v>
      </c>
      <c r="D7" s="11" t="s">
        <v>87</v>
      </c>
      <c r="E7" s="8" t="s">
        <v>68</v>
      </c>
      <c r="F7" s="12">
        <v>45504</v>
      </c>
      <c r="G7" s="11" t="s">
        <v>90</v>
      </c>
      <c r="H7" s="11" t="s">
        <v>76</v>
      </c>
    </row>
    <row r="8" spans="1:8" x14ac:dyDescent="0.3">
      <c r="A8" s="12">
        <v>45526</v>
      </c>
      <c r="B8" s="12" t="s">
        <v>103</v>
      </c>
      <c r="C8" s="1" t="s">
        <v>26</v>
      </c>
      <c r="D8" s="11" t="s">
        <v>87</v>
      </c>
      <c r="E8" s="8" t="s">
        <v>68</v>
      </c>
      <c r="F8" s="12">
        <v>45504</v>
      </c>
      <c r="G8" s="11" t="s">
        <v>90</v>
      </c>
      <c r="H8" s="11" t="s">
        <v>76</v>
      </c>
    </row>
    <row r="9" spans="1:8" x14ac:dyDescent="0.3">
      <c r="A9" s="12">
        <v>45537</v>
      </c>
      <c r="B9" s="12" t="s">
        <v>103</v>
      </c>
      <c r="C9" s="5" t="s">
        <v>79</v>
      </c>
      <c r="D9" s="11" t="s">
        <v>87</v>
      </c>
      <c r="E9" s="8" t="s">
        <v>68</v>
      </c>
      <c r="F9" s="12">
        <v>45504</v>
      </c>
      <c r="G9" s="11" t="s">
        <v>90</v>
      </c>
      <c r="H9" s="11" t="s">
        <v>76</v>
      </c>
    </row>
    <row r="10" spans="1:8" x14ac:dyDescent="0.3">
      <c r="A10" s="12">
        <v>45537</v>
      </c>
      <c r="B10" s="12" t="s">
        <v>105</v>
      </c>
      <c r="C10" s="5" t="s">
        <v>3</v>
      </c>
      <c r="D10" s="11" t="s">
        <v>92</v>
      </c>
      <c r="E10" s="11" t="s">
        <v>95</v>
      </c>
      <c r="F10" s="12">
        <v>45534</v>
      </c>
      <c r="G10" s="11" t="s">
        <v>90</v>
      </c>
      <c r="H10" s="11" t="s">
        <v>76</v>
      </c>
    </row>
    <row r="11" spans="1:8" x14ac:dyDescent="0.3">
      <c r="A11" s="12">
        <v>45537</v>
      </c>
      <c r="B11" s="12" t="s">
        <v>105</v>
      </c>
      <c r="C11" s="5" t="s">
        <v>4</v>
      </c>
      <c r="D11" s="11" t="s">
        <v>92</v>
      </c>
      <c r="E11" s="11" t="s">
        <v>93</v>
      </c>
      <c r="F11" s="12">
        <v>45534</v>
      </c>
      <c r="G11" s="11" t="s">
        <v>90</v>
      </c>
      <c r="H11" s="11" t="s">
        <v>76</v>
      </c>
    </row>
    <row r="12" spans="1:8" x14ac:dyDescent="0.3">
      <c r="A12" s="12">
        <v>45537</v>
      </c>
      <c r="B12" s="12" t="s">
        <v>105</v>
      </c>
      <c r="C12" s="5" t="s">
        <v>5</v>
      </c>
      <c r="D12" s="11" t="s">
        <v>92</v>
      </c>
      <c r="E12" s="11" t="s">
        <v>96</v>
      </c>
      <c r="F12" s="12">
        <v>45534</v>
      </c>
      <c r="G12" s="11" t="s">
        <v>90</v>
      </c>
      <c r="H12" s="11" t="s">
        <v>76</v>
      </c>
    </row>
    <row r="13" spans="1:8" x14ac:dyDescent="0.3">
      <c r="A13" s="12"/>
      <c r="B13" s="12"/>
      <c r="C13" s="5"/>
      <c r="D13" s="11"/>
      <c r="E13" s="11"/>
      <c r="F13" s="12"/>
      <c r="G13" s="11"/>
      <c r="H13" s="11"/>
    </row>
    <row r="14" spans="1:8" x14ac:dyDescent="0.3">
      <c r="A14" s="12"/>
      <c r="B14" s="12"/>
      <c r="C14" s="5"/>
      <c r="D14" s="11"/>
      <c r="E14" s="11"/>
      <c r="F14" s="12"/>
      <c r="G14" s="11"/>
      <c r="H14" s="11"/>
    </row>
    <row r="15" spans="1:8" x14ac:dyDescent="0.3">
      <c r="A15" s="12"/>
      <c r="B15" s="12"/>
      <c r="C15" s="5"/>
      <c r="D15" s="11"/>
      <c r="E15" s="11"/>
      <c r="F15" s="12"/>
      <c r="G15" s="11"/>
      <c r="H15" s="1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3E30-604C-41EE-9E27-2A9633E73EA4}">
  <dimension ref="A1:K15"/>
  <sheetViews>
    <sheetView workbookViewId="0">
      <selection activeCell="D22" sqref="D22"/>
    </sheetView>
  </sheetViews>
  <sheetFormatPr defaultRowHeight="14" x14ac:dyDescent="0.3"/>
  <cols>
    <col min="1" max="2" width="12.33203125" style="7" bestFit="1" customWidth="1"/>
    <col min="3" max="3" width="8.5" style="7" bestFit="1" customWidth="1"/>
    <col min="4" max="4" width="27" style="7" bestFit="1" customWidth="1"/>
    <col min="5" max="5" width="14.33203125" style="7" bestFit="1" customWidth="1"/>
    <col min="6" max="6" width="16.25" style="7" bestFit="1" customWidth="1"/>
    <col min="7" max="7" width="8.6640625" style="7"/>
    <col min="8" max="9" width="26.33203125" bestFit="1" customWidth="1"/>
    <col min="10" max="10" width="12.33203125" bestFit="1" customWidth="1"/>
    <col min="11" max="11" width="24.1640625" bestFit="1" customWidth="1"/>
  </cols>
  <sheetData>
    <row r="1" spans="1:11" x14ac:dyDescent="0.3">
      <c r="A1" s="7" t="s">
        <v>121</v>
      </c>
      <c r="B1" s="7" t="s">
        <v>120</v>
      </c>
      <c r="C1" s="7" t="s">
        <v>122</v>
      </c>
      <c r="D1" s="7" t="s">
        <v>123</v>
      </c>
      <c r="E1" s="7" t="s">
        <v>88</v>
      </c>
      <c r="F1" s="7" t="s">
        <v>107</v>
      </c>
      <c r="G1" s="7" t="s">
        <v>108</v>
      </c>
      <c r="H1" s="7" t="s">
        <v>124</v>
      </c>
      <c r="I1" s="7" t="s">
        <v>125</v>
      </c>
      <c r="J1" s="7" t="s">
        <v>118</v>
      </c>
      <c r="K1" s="7" t="s">
        <v>119</v>
      </c>
    </row>
    <row r="2" spans="1:11" x14ac:dyDescent="0.3">
      <c r="A2" s="13">
        <v>45526</v>
      </c>
      <c r="B2" s="7" t="s">
        <v>109</v>
      </c>
      <c r="C2" s="7" t="s">
        <v>110</v>
      </c>
      <c r="D2" s="7" t="s">
        <v>66</v>
      </c>
      <c r="E2" s="13">
        <v>45504</v>
      </c>
      <c r="F2" s="7" t="s">
        <v>111</v>
      </c>
      <c r="G2" s="7" t="s">
        <v>112</v>
      </c>
      <c r="H2" s="7" t="s">
        <v>126</v>
      </c>
      <c r="I2" s="7" t="s">
        <v>127</v>
      </c>
      <c r="J2" s="7" t="s">
        <v>130</v>
      </c>
      <c r="K2" s="7" t="s">
        <v>131</v>
      </c>
    </row>
    <row r="3" spans="1:11" x14ac:dyDescent="0.3">
      <c r="A3" s="13">
        <v>45526</v>
      </c>
      <c r="B3" s="7" t="s">
        <v>18</v>
      </c>
      <c r="C3" s="7" t="s">
        <v>110</v>
      </c>
      <c r="D3" s="7" t="s">
        <v>66</v>
      </c>
      <c r="E3" s="13">
        <v>45504</v>
      </c>
      <c r="F3" s="7" t="s">
        <v>111</v>
      </c>
      <c r="G3" s="7" t="s">
        <v>112</v>
      </c>
      <c r="H3" s="7" t="s">
        <v>126</v>
      </c>
      <c r="I3" s="7" t="s">
        <v>127</v>
      </c>
      <c r="J3" s="7" t="s">
        <v>130</v>
      </c>
      <c r="K3" s="7" t="s">
        <v>131</v>
      </c>
    </row>
    <row r="4" spans="1:11" x14ac:dyDescent="0.3">
      <c r="A4" s="13">
        <v>45526</v>
      </c>
      <c r="B4" s="7" t="s">
        <v>113</v>
      </c>
      <c r="C4" s="7" t="s">
        <v>110</v>
      </c>
      <c r="D4" s="7" t="s">
        <v>66</v>
      </c>
      <c r="E4" s="13">
        <v>45504</v>
      </c>
      <c r="F4" s="7" t="s">
        <v>111</v>
      </c>
      <c r="G4" s="7" t="s">
        <v>112</v>
      </c>
      <c r="H4" s="7" t="s">
        <v>126</v>
      </c>
      <c r="I4" s="7" t="s">
        <v>127</v>
      </c>
      <c r="J4" s="7" t="s">
        <v>130</v>
      </c>
      <c r="K4" s="7" t="s">
        <v>131</v>
      </c>
    </row>
    <row r="5" spans="1:11" x14ac:dyDescent="0.3">
      <c r="A5" s="13">
        <v>45526</v>
      </c>
      <c r="B5" s="7" t="s">
        <v>114</v>
      </c>
      <c r="C5" s="7" t="s">
        <v>110</v>
      </c>
      <c r="D5" s="7" t="s">
        <v>66</v>
      </c>
      <c r="E5" s="13">
        <v>45504</v>
      </c>
      <c r="F5" s="7" t="s">
        <v>111</v>
      </c>
      <c r="G5" s="7" t="s">
        <v>112</v>
      </c>
      <c r="H5" s="7" t="s">
        <v>126</v>
      </c>
      <c r="I5" s="7" t="s">
        <v>127</v>
      </c>
      <c r="J5" s="7" t="s">
        <v>130</v>
      </c>
      <c r="K5" s="7" t="s">
        <v>131</v>
      </c>
    </row>
    <row r="6" spans="1:11" x14ac:dyDescent="0.3">
      <c r="A6" s="13">
        <v>45526</v>
      </c>
      <c r="B6" s="7" t="s">
        <v>109</v>
      </c>
      <c r="C6" s="7" t="s">
        <v>110</v>
      </c>
      <c r="D6" s="7" t="s">
        <v>66</v>
      </c>
      <c r="E6" s="13">
        <v>45504</v>
      </c>
      <c r="F6" s="7" t="s">
        <v>91</v>
      </c>
      <c r="G6" s="7" t="s">
        <v>112</v>
      </c>
      <c r="H6" s="7" t="s">
        <v>126</v>
      </c>
      <c r="I6" s="7" t="s">
        <v>127</v>
      </c>
      <c r="J6" s="7" t="s">
        <v>130</v>
      </c>
      <c r="K6" s="7" t="s">
        <v>131</v>
      </c>
    </row>
    <row r="7" spans="1:11" x14ac:dyDescent="0.3">
      <c r="A7" s="13">
        <v>45526</v>
      </c>
      <c r="B7" s="7" t="s">
        <v>18</v>
      </c>
      <c r="C7" s="7" t="s">
        <v>110</v>
      </c>
      <c r="D7" s="7" t="s">
        <v>66</v>
      </c>
      <c r="E7" s="13">
        <v>45504</v>
      </c>
      <c r="F7" s="7" t="s">
        <v>91</v>
      </c>
      <c r="G7" s="7" t="s">
        <v>112</v>
      </c>
      <c r="H7" s="7" t="s">
        <v>126</v>
      </c>
      <c r="I7" s="7" t="s">
        <v>127</v>
      </c>
      <c r="J7" s="7" t="s">
        <v>130</v>
      </c>
      <c r="K7" s="7" t="s">
        <v>131</v>
      </c>
    </row>
    <row r="8" spans="1:11" x14ac:dyDescent="0.3">
      <c r="A8" s="13">
        <v>45526</v>
      </c>
      <c r="B8" s="7" t="s">
        <v>113</v>
      </c>
      <c r="C8" s="7" t="s">
        <v>110</v>
      </c>
      <c r="D8" s="7" t="s">
        <v>66</v>
      </c>
      <c r="E8" s="13">
        <v>45504</v>
      </c>
      <c r="F8" s="7" t="s">
        <v>91</v>
      </c>
      <c r="G8" s="7" t="s">
        <v>112</v>
      </c>
      <c r="H8" s="7" t="s">
        <v>126</v>
      </c>
      <c r="I8" s="7" t="s">
        <v>127</v>
      </c>
      <c r="J8" s="7" t="s">
        <v>130</v>
      </c>
      <c r="K8" s="7" t="s">
        <v>131</v>
      </c>
    </row>
    <row r="9" spans="1:11" x14ac:dyDescent="0.3">
      <c r="A9" s="13">
        <v>45537</v>
      </c>
      <c r="B9" s="7" t="s">
        <v>114</v>
      </c>
      <c r="C9" s="7" t="s">
        <v>110</v>
      </c>
      <c r="D9" s="7" t="s">
        <v>66</v>
      </c>
      <c r="E9" s="13">
        <v>45504</v>
      </c>
      <c r="F9" s="7" t="s">
        <v>91</v>
      </c>
      <c r="G9" s="7" t="s">
        <v>112</v>
      </c>
      <c r="H9" s="7" t="s">
        <v>128</v>
      </c>
      <c r="I9" s="7" t="s">
        <v>129</v>
      </c>
      <c r="J9" s="7" t="s">
        <v>130</v>
      </c>
      <c r="K9" s="7" t="s">
        <v>131</v>
      </c>
    </row>
    <row r="10" spans="1:11" x14ac:dyDescent="0.3">
      <c r="A10" s="13">
        <v>45537</v>
      </c>
      <c r="B10" s="7" t="s">
        <v>3</v>
      </c>
      <c r="C10" s="7" t="s">
        <v>115</v>
      </c>
      <c r="D10" s="7" t="s">
        <v>1</v>
      </c>
      <c r="E10" s="13">
        <v>45534</v>
      </c>
      <c r="F10" s="7" t="s">
        <v>111</v>
      </c>
      <c r="G10" s="7" t="s">
        <v>112</v>
      </c>
      <c r="H10" s="7" t="s">
        <v>128</v>
      </c>
      <c r="I10" s="7" t="s">
        <v>129</v>
      </c>
      <c r="J10" s="7" t="s">
        <v>130</v>
      </c>
      <c r="K10" s="7" t="s">
        <v>131</v>
      </c>
    </row>
    <row r="11" spans="1:11" x14ac:dyDescent="0.3">
      <c r="A11" s="13">
        <v>45537</v>
      </c>
      <c r="B11" s="7" t="s">
        <v>4</v>
      </c>
      <c r="C11" s="7" t="s">
        <v>115</v>
      </c>
      <c r="D11" s="7" t="s">
        <v>116</v>
      </c>
      <c r="E11" s="13">
        <v>45534</v>
      </c>
      <c r="F11" s="7" t="s">
        <v>111</v>
      </c>
      <c r="G11" s="7" t="s">
        <v>112</v>
      </c>
      <c r="H11" s="7" t="s">
        <v>128</v>
      </c>
      <c r="I11" s="7" t="s">
        <v>129</v>
      </c>
      <c r="J11" s="7" t="s">
        <v>130</v>
      </c>
      <c r="K11" s="7" t="s">
        <v>131</v>
      </c>
    </row>
    <row r="12" spans="1:11" x14ac:dyDescent="0.3">
      <c r="A12" s="13">
        <v>45537</v>
      </c>
      <c r="B12" s="7" t="s">
        <v>5</v>
      </c>
      <c r="C12" s="7" t="s">
        <v>115</v>
      </c>
      <c r="D12" s="7" t="s">
        <v>2</v>
      </c>
      <c r="E12" s="13">
        <v>45534</v>
      </c>
      <c r="F12" s="7" t="s">
        <v>111</v>
      </c>
      <c r="G12" s="7" t="s">
        <v>112</v>
      </c>
      <c r="H12" s="7" t="s">
        <v>128</v>
      </c>
      <c r="I12" s="7" t="s">
        <v>129</v>
      </c>
      <c r="J12" s="7" t="s">
        <v>130</v>
      </c>
      <c r="K12" s="7" t="s">
        <v>131</v>
      </c>
    </row>
    <row r="13" spans="1:11" x14ac:dyDescent="0.3">
      <c r="A13" s="13">
        <v>45537</v>
      </c>
      <c r="B13" s="7" t="s">
        <v>3</v>
      </c>
      <c r="C13" s="7" t="s">
        <v>115</v>
      </c>
      <c r="D13" s="7" t="s">
        <v>1</v>
      </c>
      <c r="E13" s="13">
        <v>45534</v>
      </c>
      <c r="F13" s="7" t="s">
        <v>117</v>
      </c>
      <c r="G13" s="7" t="s">
        <v>112</v>
      </c>
      <c r="H13" s="7" t="s">
        <v>128</v>
      </c>
      <c r="I13" s="7" t="s">
        <v>129</v>
      </c>
      <c r="J13" s="7" t="s">
        <v>130</v>
      </c>
      <c r="K13" s="7" t="s">
        <v>131</v>
      </c>
    </row>
    <row r="14" spans="1:11" x14ac:dyDescent="0.3">
      <c r="A14" s="13">
        <v>45537</v>
      </c>
      <c r="B14" s="7" t="s">
        <v>4</v>
      </c>
      <c r="C14" s="7" t="s">
        <v>115</v>
      </c>
      <c r="D14" s="7" t="s">
        <v>116</v>
      </c>
      <c r="E14" s="13">
        <v>45534</v>
      </c>
      <c r="F14" s="7" t="s">
        <v>117</v>
      </c>
      <c r="G14" s="7" t="s">
        <v>112</v>
      </c>
      <c r="H14" s="7" t="s">
        <v>128</v>
      </c>
      <c r="I14" s="7" t="s">
        <v>129</v>
      </c>
      <c r="J14" s="7" t="s">
        <v>130</v>
      </c>
      <c r="K14" s="7" t="s">
        <v>131</v>
      </c>
    </row>
    <row r="15" spans="1:11" x14ac:dyDescent="0.3">
      <c r="A15" s="13">
        <v>45537</v>
      </c>
      <c r="B15" s="7" t="s">
        <v>5</v>
      </c>
      <c r="C15" s="7" t="s">
        <v>115</v>
      </c>
      <c r="D15" s="7" t="s">
        <v>2</v>
      </c>
      <c r="E15" s="13">
        <v>45534</v>
      </c>
      <c r="F15" s="7" t="s">
        <v>117</v>
      </c>
      <c r="G15" s="7" t="s">
        <v>112</v>
      </c>
      <c r="H15" s="7" t="s">
        <v>128</v>
      </c>
      <c r="I15" s="7" t="s">
        <v>129</v>
      </c>
      <c r="J15" s="7" t="s">
        <v>130</v>
      </c>
      <c r="K15" s="7" t="s">
        <v>131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FAF1-4D1D-46F3-8DC0-87FB477D7AF0}">
  <dimension ref="A1:L15"/>
  <sheetViews>
    <sheetView workbookViewId="0">
      <selection sqref="A1:G15"/>
    </sheetView>
  </sheetViews>
  <sheetFormatPr defaultRowHeight="14" x14ac:dyDescent="0.3"/>
  <cols>
    <col min="1" max="3" width="14.33203125" bestFit="1" customWidth="1"/>
    <col min="4" max="4" width="10.4140625" bestFit="1" customWidth="1"/>
    <col min="5" max="5" width="26.9140625" customWidth="1"/>
    <col min="6" max="6" width="14.33203125" bestFit="1" customWidth="1"/>
    <col min="7" max="7" width="16.25" bestFit="1" customWidth="1"/>
    <col min="8" max="8" width="6.6640625" bestFit="1" customWidth="1"/>
    <col min="9" max="9" width="26.33203125" bestFit="1" customWidth="1"/>
    <col min="10" max="10" width="24.1640625" bestFit="1" customWidth="1"/>
    <col min="11" max="11" width="12.33203125" bestFit="1" customWidth="1"/>
    <col min="12" max="12" width="24.1640625" bestFit="1" customWidth="1"/>
  </cols>
  <sheetData>
    <row r="1" spans="1:12" x14ac:dyDescent="0.3">
      <c r="A1" s="11" t="s">
        <v>121</v>
      </c>
      <c r="B1" s="11" t="s">
        <v>132</v>
      </c>
      <c r="C1" s="11" t="s">
        <v>120</v>
      </c>
      <c r="D1" s="11" t="s">
        <v>122</v>
      </c>
      <c r="E1" s="11" t="s">
        <v>123</v>
      </c>
      <c r="F1" s="11" t="s">
        <v>133</v>
      </c>
      <c r="G1" s="11" t="s">
        <v>89</v>
      </c>
      <c r="H1" s="8" t="s">
        <v>61</v>
      </c>
      <c r="I1" s="8" t="s">
        <v>124</v>
      </c>
      <c r="J1" s="8" t="s">
        <v>125</v>
      </c>
      <c r="K1" s="8" t="s">
        <v>118</v>
      </c>
      <c r="L1" s="8" t="s">
        <v>119</v>
      </c>
    </row>
    <row r="2" spans="1:12" x14ac:dyDescent="0.3">
      <c r="A2" s="12">
        <v>45526</v>
      </c>
      <c r="B2" s="12" t="s">
        <v>99</v>
      </c>
      <c r="C2" s="10" t="s">
        <v>75</v>
      </c>
      <c r="D2" s="11" t="s">
        <v>87</v>
      </c>
      <c r="E2" s="9" t="s">
        <v>66</v>
      </c>
      <c r="F2" s="12">
        <v>45504</v>
      </c>
      <c r="G2" s="11" t="s">
        <v>90</v>
      </c>
      <c r="H2" s="11" t="s">
        <v>76</v>
      </c>
      <c r="I2" s="8" t="s">
        <v>126</v>
      </c>
      <c r="J2" s="8" t="s">
        <v>127</v>
      </c>
      <c r="K2" s="8" t="s">
        <v>130</v>
      </c>
      <c r="L2" s="8" t="s">
        <v>131</v>
      </c>
    </row>
    <row r="3" spans="1:12" x14ac:dyDescent="0.3">
      <c r="A3" s="12">
        <v>45526</v>
      </c>
      <c r="B3" s="12" t="s">
        <v>99</v>
      </c>
      <c r="C3" s="10" t="s">
        <v>18</v>
      </c>
      <c r="D3" s="11" t="s">
        <v>87</v>
      </c>
      <c r="E3" s="9" t="s">
        <v>66</v>
      </c>
      <c r="F3" s="12">
        <v>45504</v>
      </c>
      <c r="G3" s="11" t="s">
        <v>90</v>
      </c>
      <c r="H3" s="11" t="s">
        <v>76</v>
      </c>
      <c r="I3" s="8" t="s">
        <v>126</v>
      </c>
      <c r="J3" s="8" t="s">
        <v>127</v>
      </c>
      <c r="K3" s="8" t="s">
        <v>130</v>
      </c>
      <c r="L3" s="8" t="s">
        <v>131</v>
      </c>
    </row>
    <row r="4" spans="1:12" x14ac:dyDescent="0.3">
      <c r="A4" s="12">
        <v>45526</v>
      </c>
      <c r="B4" s="12" t="s">
        <v>99</v>
      </c>
      <c r="C4" s="10" t="s">
        <v>77</v>
      </c>
      <c r="D4" s="11" t="s">
        <v>87</v>
      </c>
      <c r="E4" s="9" t="s">
        <v>66</v>
      </c>
      <c r="F4" s="12">
        <v>45504</v>
      </c>
      <c r="G4" s="11" t="s">
        <v>90</v>
      </c>
      <c r="H4" s="11" t="s">
        <v>76</v>
      </c>
      <c r="I4" s="8" t="s">
        <v>126</v>
      </c>
      <c r="J4" s="8" t="s">
        <v>127</v>
      </c>
      <c r="K4" s="8" t="s">
        <v>130</v>
      </c>
      <c r="L4" s="8" t="s">
        <v>131</v>
      </c>
    </row>
    <row r="5" spans="1:12" x14ac:dyDescent="0.3">
      <c r="A5" s="12">
        <v>45526</v>
      </c>
      <c r="B5" s="12" t="s">
        <v>99</v>
      </c>
      <c r="C5" s="10" t="s">
        <v>78</v>
      </c>
      <c r="D5" s="11" t="s">
        <v>87</v>
      </c>
      <c r="E5" s="9" t="s">
        <v>83</v>
      </c>
      <c r="F5" s="12">
        <v>45504</v>
      </c>
      <c r="G5" s="11" t="s">
        <v>90</v>
      </c>
      <c r="H5" s="11" t="s">
        <v>76</v>
      </c>
      <c r="I5" s="8" t="s">
        <v>126</v>
      </c>
      <c r="J5" s="8" t="s">
        <v>127</v>
      </c>
      <c r="K5" s="8" t="s">
        <v>130</v>
      </c>
      <c r="L5" s="8" t="s">
        <v>131</v>
      </c>
    </row>
    <row r="6" spans="1:12" x14ac:dyDescent="0.3">
      <c r="A6" s="12">
        <v>45526</v>
      </c>
      <c r="B6" s="12" t="s">
        <v>100</v>
      </c>
      <c r="C6" s="10" t="s">
        <v>75</v>
      </c>
      <c r="D6" s="11" t="s">
        <v>87</v>
      </c>
      <c r="E6" s="9" t="s">
        <v>66</v>
      </c>
      <c r="F6" s="12">
        <v>45504</v>
      </c>
      <c r="G6" s="11" t="s">
        <v>91</v>
      </c>
      <c r="H6" s="11" t="s">
        <v>76</v>
      </c>
      <c r="I6" s="8" t="s">
        <v>126</v>
      </c>
      <c r="J6" s="8" t="s">
        <v>127</v>
      </c>
      <c r="K6" s="8" t="s">
        <v>130</v>
      </c>
      <c r="L6" s="8" t="s">
        <v>131</v>
      </c>
    </row>
    <row r="7" spans="1:12" x14ac:dyDescent="0.3">
      <c r="A7" s="12">
        <v>45526</v>
      </c>
      <c r="B7" s="12" t="s">
        <v>100</v>
      </c>
      <c r="C7" s="10" t="s">
        <v>18</v>
      </c>
      <c r="D7" s="11" t="s">
        <v>87</v>
      </c>
      <c r="E7" s="9" t="s">
        <v>66</v>
      </c>
      <c r="F7" s="12">
        <v>45504</v>
      </c>
      <c r="G7" s="11" t="s">
        <v>91</v>
      </c>
      <c r="H7" s="11" t="s">
        <v>76</v>
      </c>
      <c r="I7" s="8" t="s">
        <v>126</v>
      </c>
      <c r="J7" s="8" t="s">
        <v>127</v>
      </c>
      <c r="K7" s="8" t="s">
        <v>130</v>
      </c>
      <c r="L7" s="8" t="s">
        <v>131</v>
      </c>
    </row>
    <row r="8" spans="1:12" x14ac:dyDescent="0.3">
      <c r="A8" s="12">
        <v>45526</v>
      </c>
      <c r="B8" s="12" t="s">
        <v>100</v>
      </c>
      <c r="C8" s="10" t="s">
        <v>77</v>
      </c>
      <c r="D8" s="11" t="s">
        <v>87</v>
      </c>
      <c r="E8" s="9" t="s">
        <v>66</v>
      </c>
      <c r="F8" s="12">
        <v>45504</v>
      </c>
      <c r="G8" s="11" t="s">
        <v>91</v>
      </c>
      <c r="H8" s="11" t="s">
        <v>76</v>
      </c>
      <c r="I8" s="8" t="s">
        <v>126</v>
      </c>
      <c r="J8" s="8" t="s">
        <v>127</v>
      </c>
      <c r="K8" s="8" t="s">
        <v>130</v>
      </c>
      <c r="L8" s="8" t="s">
        <v>131</v>
      </c>
    </row>
    <row r="9" spans="1:12" x14ac:dyDescent="0.3">
      <c r="A9" s="12">
        <v>45537</v>
      </c>
      <c r="B9" s="12" t="s">
        <v>100</v>
      </c>
      <c r="C9" s="10" t="s">
        <v>78</v>
      </c>
      <c r="D9" s="11" t="s">
        <v>87</v>
      </c>
      <c r="E9" s="9" t="s">
        <v>83</v>
      </c>
      <c r="F9" s="12">
        <v>45504</v>
      </c>
      <c r="G9" s="11" t="s">
        <v>91</v>
      </c>
      <c r="H9" s="11" t="s">
        <v>76</v>
      </c>
      <c r="I9" s="8" t="s">
        <v>128</v>
      </c>
      <c r="J9" s="8" t="s">
        <v>129</v>
      </c>
      <c r="K9" s="8" t="s">
        <v>130</v>
      </c>
      <c r="L9" s="8" t="s">
        <v>131</v>
      </c>
    </row>
    <row r="10" spans="1:12" x14ac:dyDescent="0.3">
      <c r="A10" s="12">
        <v>45537</v>
      </c>
      <c r="B10" s="12" t="s">
        <v>101</v>
      </c>
      <c r="C10" s="5" t="s">
        <v>3</v>
      </c>
      <c r="D10" s="11" t="s">
        <v>92</v>
      </c>
      <c r="E10" s="11" t="s">
        <v>95</v>
      </c>
      <c r="F10" s="12">
        <v>45534</v>
      </c>
      <c r="G10" s="11" t="s">
        <v>90</v>
      </c>
      <c r="H10" s="11" t="s">
        <v>76</v>
      </c>
      <c r="I10" s="8" t="s">
        <v>128</v>
      </c>
      <c r="J10" s="8" t="s">
        <v>129</v>
      </c>
      <c r="K10" s="8" t="s">
        <v>130</v>
      </c>
      <c r="L10" s="8" t="s">
        <v>131</v>
      </c>
    </row>
    <row r="11" spans="1:12" x14ac:dyDescent="0.3">
      <c r="A11" s="12">
        <v>45537</v>
      </c>
      <c r="B11" s="12" t="s">
        <v>101</v>
      </c>
      <c r="C11" s="5" t="s">
        <v>4</v>
      </c>
      <c r="D11" s="11" t="s">
        <v>92</v>
      </c>
      <c r="E11" s="11" t="s">
        <v>93</v>
      </c>
      <c r="F11" s="12">
        <v>45534</v>
      </c>
      <c r="G11" s="11" t="s">
        <v>90</v>
      </c>
      <c r="H11" s="11" t="s">
        <v>76</v>
      </c>
      <c r="I11" s="8" t="s">
        <v>128</v>
      </c>
      <c r="J11" s="8" t="s">
        <v>129</v>
      </c>
      <c r="K11" s="8" t="s">
        <v>130</v>
      </c>
      <c r="L11" s="8" t="s">
        <v>131</v>
      </c>
    </row>
    <row r="12" spans="1:12" x14ac:dyDescent="0.3">
      <c r="A12" s="12">
        <v>45537</v>
      </c>
      <c r="B12" s="12" t="s">
        <v>101</v>
      </c>
      <c r="C12" s="5" t="s">
        <v>5</v>
      </c>
      <c r="D12" s="11" t="s">
        <v>92</v>
      </c>
      <c r="E12" s="11" t="s">
        <v>96</v>
      </c>
      <c r="F12" s="12">
        <v>45534</v>
      </c>
      <c r="G12" s="11" t="s">
        <v>90</v>
      </c>
      <c r="H12" s="11" t="s">
        <v>76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spans="1:12" x14ac:dyDescent="0.3">
      <c r="A13" s="12">
        <v>45537</v>
      </c>
      <c r="B13" s="12" t="s">
        <v>99</v>
      </c>
      <c r="C13" s="5" t="s">
        <v>3</v>
      </c>
      <c r="D13" s="11" t="s">
        <v>92</v>
      </c>
      <c r="E13" s="11" t="s">
        <v>95</v>
      </c>
      <c r="F13" s="12">
        <v>45534</v>
      </c>
      <c r="G13" s="11" t="s">
        <v>97</v>
      </c>
      <c r="H13" s="11" t="s">
        <v>76</v>
      </c>
      <c r="I13" s="8" t="s">
        <v>128</v>
      </c>
      <c r="J13" s="8" t="s">
        <v>129</v>
      </c>
      <c r="K13" s="8" t="s">
        <v>130</v>
      </c>
      <c r="L13" s="8" t="s">
        <v>131</v>
      </c>
    </row>
    <row r="14" spans="1:12" x14ac:dyDescent="0.3">
      <c r="A14" s="12">
        <v>45537</v>
      </c>
      <c r="B14" s="12" t="s">
        <v>99</v>
      </c>
      <c r="C14" s="5" t="s">
        <v>4</v>
      </c>
      <c r="D14" s="11" t="s">
        <v>92</v>
      </c>
      <c r="E14" s="11" t="s">
        <v>93</v>
      </c>
      <c r="F14" s="12">
        <v>45534</v>
      </c>
      <c r="G14" s="11" t="s">
        <v>97</v>
      </c>
      <c r="H14" s="11" t="s">
        <v>76</v>
      </c>
      <c r="I14" s="8" t="s">
        <v>128</v>
      </c>
      <c r="J14" s="8" t="s">
        <v>129</v>
      </c>
      <c r="K14" s="8" t="s">
        <v>130</v>
      </c>
      <c r="L14" s="8" t="s">
        <v>131</v>
      </c>
    </row>
    <row r="15" spans="1:12" x14ac:dyDescent="0.3">
      <c r="A15" s="12">
        <v>45537</v>
      </c>
      <c r="B15" s="12" t="s">
        <v>99</v>
      </c>
      <c r="C15" s="5" t="s">
        <v>5</v>
      </c>
      <c r="D15" s="11" t="s">
        <v>92</v>
      </c>
      <c r="E15" s="11" t="s">
        <v>96</v>
      </c>
      <c r="F15" s="12">
        <v>45534</v>
      </c>
      <c r="G15" s="11" t="s">
        <v>97</v>
      </c>
      <c r="H15" s="11" t="s">
        <v>76</v>
      </c>
      <c r="I15" s="8" t="s">
        <v>128</v>
      </c>
      <c r="J15" s="8" t="s">
        <v>129</v>
      </c>
      <c r="K15" s="8" t="s">
        <v>130</v>
      </c>
      <c r="L15" s="8" t="s">
        <v>131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6D5D-7D47-45B7-8C7C-C3FD5B35C676}">
  <dimension ref="A1:L15"/>
  <sheetViews>
    <sheetView workbookViewId="0">
      <selection sqref="A1:G12"/>
    </sheetView>
  </sheetViews>
  <sheetFormatPr defaultRowHeight="14" x14ac:dyDescent="0.3"/>
  <cols>
    <col min="1" max="3" width="14.33203125" bestFit="1" customWidth="1"/>
    <col min="4" max="4" width="10.4140625" bestFit="1" customWidth="1"/>
    <col min="5" max="5" width="27.08203125" bestFit="1" customWidth="1"/>
    <col min="6" max="7" width="14.33203125" bestFit="1" customWidth="1"/>
    <col min="8" max="8" width="6.6640625" bestFit="1" customWidth="1"/>
    <col min="9" max="9" width="25.1640625" bestFit="1" customWidth="1"/>
    <col min="10" max="10" width="23.1640625" bestFit="1" customWidth="1"/>
    <col min="11" max="11" width="12.33203125" bestFit="1" customWidth="1"/>
    <col min="12" max="12" width="24.1640625" bestFit="1" customWidth="1"/>
  </cols>
  <sheetData>
    <row r="1" spans="1:12" x14ac:dyDescent="0.3">
      <c r="A1" s="11" t="s">
        <v>84</v>
      </c>
      <c r="B1" s="11" t="s">
        <v>106</v>
      </c>
      <c r="C1" s="11" t="s">
        <v>74</v>
      </c>
      <c r="D1" s="11" t="s">
        <v>85</v>
      </c>
      <c r="E1" s="11" t="s">
        <v>86</v>
      </c>
      <c r="F1" s="11" t="s">
        <v>88</v>
      </c>
      <c r="G1" s="11" t="s">
        <v>89</v>
      </c>
      <c r="H1" s="8" t="s">
        <v>61</v>
      </c>
      <c r="I1" s="8" t="s">
        <v>124</v>
      </c>
      <c r="J1" s="8" t="s">
        <v>125</v>
      </c>
      <c r="K1" s="8" t="s">
        <v>118</v>
      </c>
      <c r="L1" s="8" t="s">
        <v>119</v>
      </c>
    </row>
    <row r="2" spans="1:12" x14ac:dyDescent="0.3">
      <c r="A2" s="12">
        <v>45526</v>
      </c>
      <c r="B2" s="12" t="s">
        <v>102</v>
      </c>
      <c r="C2" s="10" t="s">
        <v>75</v>
      </c>
      <c r="D2" s="11" t="s">
        <v>87</v>
      </c>
      <c r="E2" s="9" t="s">
        <v>66</v>
      </c>
      <c r="F2" s="12">
        <v>45504</v>
      </c>
      <c r="G2" s="11" t="s">
        <v>90</v>
      </c>
      <c r="H2" s="11" t="s">
        <v>76</v>
      </c>
      <c r="I2" s="8" t="s">
        <v>126</v>
      </c>
      <c r="J2" s="8" t="s">
        <v>127</v>
      </c>
      <c r="K2" s="8" t="s">
        <v>130</v>
      </c>
      <c r="L2" s="8" t="s">
        <v>131</v>
      </c>
    </row>
    <row r="3" spans="1:12" x14ac:dyDescent="0.3">
      <c r="A3" s="12">
        <v>45526</v>
      </c>
      <c r="B3" s="12" t="s">
        <v>102</v>
      </c>
      <c r="C3" s="10" t="s">
        <v>18</v>
      </c>
      <c r="D3" s="11" t="s">
        <v>87</v>
      </c>
      <c r="E3" s="9" t="s">
        <v>66</v>
      </c>
      <c r="F3" s="12">
        <v>45504</v>
      </c>
      <c r="G3" s="11" t="s">
        <v>90</v>
      </c>
      <c r="H3" s="11" t="s">
        <v>76</v>
      </c>
      <c r="I3" s="8" t="s">
        <v>126</v>
      </c>
      <c r="J3" s="8" t="s">
        <v>127</v>
      </c>
      <c r="K3" s="8" t="s">
        <v>130</v>
      </c>
      <c r="L3" s="8" t="s">
        <v>131</v>
      </c>
    </row>
    <row r="4" spans="1:12" x14ac:dyDescent="0.3">
      <c r="A4" s="12">
        <v>45526</v>
      </c>
      <c r="B4" s="12" t="s">
        <v>102</v>
      </c>
      <c r="C4" s="10" t="s">
        <v>77</v>
      </c>
      <c r="D4" s="11" t="s">
        <v>87</v>
      </c>
      <c r="E4" s="9" t="s">
        <v>66</v>
      </c>
      <c r="F4" s="12">
        <v>45504</v>
      </c>
      <c r="G4" s="11" t="s">
        <v>90</v>
      </c>
      <c r="H4" s="11" t="s">
        <v>76</v>
      </c>
      <c r="I4" s="8" t="s">
        <v>126</v>
      </c>
      <c r="J4" s="8" t="s">
        <v>127</v>
      </c>
      <c r="K4" s="8" t="s">
        <v>130</v>
      </c>
      <c r="L4" s="8" t="s">
        <v>131</v>
      </c>
    </row>
    <row r="5" spans="1:12" x14ac:dyDescent="0.3">
      <c r="A5" s="12">
        <v>45526</v>
      </c>
      <c r="B5" s="12" t="s">
        <v>102</v>
      </c>
      <c r="C5" s="10" t="s">
        <v>78</v>
      </c>
      <c r="D5" s="11" t="s">
        <v>87</v>
      </c>
      <c r="E5" s="9" t="s">
        <v>83</v>
      </c>
      <c r="F5" s="12">
        <v>45504</v>
      </c>
      <c r="G5" s="11" t="s">
        <v>90</v>
      </c>
      <c r="H5" s="11" t="s">
        <v>76</v>
      </c>
      <c r="I5" s="8" t="s">
        <v>126</v>
      </c>
      <c r="J5" s="8" t="s">
        <v>127</v>
      </c>
      <c r="K5" s="8" t="s">
        <v>130</v>
      </c>
      <c r="L5" s="8" t="s">
        <v>131</v>
      </c>
    </row>
    <row r="6" spans="1:12" x14ac:dyDescent="0.3">
      <c r="A6" s="12">
        <v>45526</v>
      </c>
      <c r="B6" s="12" t="s">
        <v>103</v>
      </c>
      <c r="C6" s="1" t="s">
        <v>24</v>
      </c>
      <c r="D6" s="11" t="s">
        <v>87</v>
      </c>
      <c r="E6" s="8" t="s">
        <v>68</v>
      </c>
      <c r="F6" s="12">
        <v>45504</v>
      </c>
      <c r="G6" s="11" t="s">
        <v>90</v>
      </c>
      <c r="H6" s="11" t="s">
        <v>76</v>
      </c>
      <c r="I6" s="8" t="s">
        <v>126</v>
      </c>
      <c r="J6" s="8" t="s">
        <v>127</v>
      </c>
      <c r="K6" s="8" t="s">
        <v>130</v>
      </c>
      <c r="L6" s="8" t="s">
        <v>131</v>
      </c>
    </row>
    <row r="7" spans="1:12" x14ac:dyDescent="0.3">
      <c r="A7" s="12">
        <v>45526</v>
      </c>
      <c r="B7" s="12" t="s">
        <v>103</v>
      </c>
      <c r="C7" s="1" t="s">
        <v>25</v>
      </c>
      <c r="D7" s="11" t="s">
        <v>87</v>
      </c>
      <c r="E7" s="8" t="s">
        <v>68</v>
      </c>
      <c r="F7" s="12">
        <v>45504</v>
      </c>
      <c r="G7" s="11" t="s">
        <v>90</v>
      </c>
      <c r="H7" s="11" t="s">
        <v>76</v>
      </c>
      <c r="I7" s="8" t="s">
        <v>126</v>
      </c>
      <c r="J7" s="8" t="s">
        <v>127</v>
      </c>
      <c r="K7" s="8" t="s">
        <v>130</v>
      </c>
      <c r="L7" s="8" t="s">
        <v>131</v>
      </c>
    </row>
    <row r="8" spans="1:12" x14ac:dyDescent="0.3">
      <c r="A8" s="12">
        <v>45526</v>
      </c>
      <c r="B8" s="12" t="s">
        <v>103</v>
      </c>
      <c r="C8" s="1" t="s">
        <v>26</v>
      </c>
      <c r="D8" s="11" t="s">
        <v>87</v>
      </c>
      <c r="E8" s="8" t="s">
        <v>68</v>
      </c>
      <c r="F8" s="12">
        <v>45504</v>
      </c>
      <c r="G8" s="11" t="s">
        <v>90</v>
      </c>
      <c r="H8" s="11" t="s">
        <v>76</v>
      </c>
      <c r="I8" s="8" t="s">
        <v>126</v>
      </c>
      <c r="J8" s="8" t="s">
        <v>127</v>
      </c>
      <c r="K8" s="8" t="s">
        <v>130</v>
      </c>
      <c r="L8" s="8" t="s">
        <v>131</v>
      </c>
    </row>
    <row r="9" spans="1:12" x14ac:dyDescent="0.3">
      <c r="A9" s="12">
        <v>45537</v>
      </c>
      <c r="B9" s="12" t="s">
        <v>103</v>
      </c>
      <c r="C9" s="5" t="s">
        <v>79</v>
      </c>
      <c r="D9" s="11" t="s">
        <v>87</v>
      </c>
      <c r="E9" s="8" t="s">
        <v>68</v>
      </c>
      <c r="F9" s="12">
        <v>45504</v>
      </c>
      <c r="G9" s="11" t="s">
        <v>90</v>
      </c>
      <c r="H9" s="11" t="s">
        <v>76</v>
      </c>
      <c r="I9" s="8" t="s">
        <v>128</v>
      </c>
      <c r="J9" s="8" t="s">
        <v>129</v>
      </c>
      <c r="K9" s="8" t="s">
        <v>130</v>
      </c>
      <c r="L9" s="8" t="s">
        <v>131</v>
      </c>
    </row>
    <row r="10" spans="1:12" x14ac:dyDescent="0.3">
      <c r="A10" s="12">
        <v>45537</v>
      </c>
      <c r="B10" s="12" t="s">
        <v>105</v>
      </c>
      <c r="C10" s="5" t="s">
        <v>3</v>
      </c>
      <c r="D10" s="11" t="s">
        <v>92</v>
      </c>
      <c r="E10" s="11" t="s">
        <v>95</v>
      </c>
      <c r="F10" s="12">
        <v>45534</v>
      </c>
      <c r="G10" s="11" t="s">
        <v>90</v>
      </c>
      <c r="H10" s="11" t="s">
        <v>76</v>
      </c>
      <c r="I10" s="8" t="s">
        <v>128</v>
      </c>
      <c r="J10" s="8" t="s">
        <v>129</v>
      </c>
      <c r="K10" s="8" t="s">
        <v>130</v>
      </c>
      <c r="L10" s="8" t="s">
        <v>131</v>
      </c>
    </row>
    <row r="11" spans="1:12" x14ac:dyDescent="0.3">
      <c r="A11" s="12">
        <v>45537</v>
      </c>
      <c r="B11" s="12" t="s">
        <v>105</v>
      </c>
      <c r="C11" s="5" t="s">
        <v>4</v>
      </c>
      <c r="D11" s="11" t="s">
        <v>92</v>
      </c>
      <c r="E11" s="11" t="s">
        <v>93</v>
      </c>
      <c r="F11" s="12">
        <v>45534</v>
      </c>
      <c r="G11" s="11" t="s">
        <v>90</v>
      </c>
      <c r="H11" s="11" t="s">
        <v>76</v>
      </c>
      <c r="I11" s="8" t="s">
        <v>128</v>
      </c>
      <c r="J11" s="8" t="s">
        <v>129</v>
      </c>
      <c r="K11" s="8" t="s">
        <v>130</v>
      </c>
      <c r="L11" s="8" t="s">
        <v>131</v>
      </c>
    </row>
    <row r="12" spans="1:12" x14ac:dyDescent="0.3">
      <c r="A12" s="12">
        <v>45537</v>
      </c>
      <c r="B12" s="12" t="s">
        <v>105</v>
      </c>
      <c r="C12" s="5" t="s">
        <v>5</v>
      </c>
      <c r="D12" s="11" t="s">
        <v>92</v>
      </c>
      <c r="E12" s="11" t="s">
        <v>96</v>
      </c>
      <c r="F12" s="12">
        <v>45534</v>
      </c>
      <c r="G12" s="11" t="s">
        <v>90</v>
      </c>
      <c r="H12" s="11" t="s">
        <v>76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spans="1:12" x14ac:dyDescent="0.3">
      <c r="I13" s="8"/>
      <c r="J13" s="8"/>
      <c r="K13" s="8"/>
      <c r="L13" s="8"/>
    </row>
    <row r="14" spans="1:12" x14ac:dyDescent="0.3">
      <c r="I14" s="8"/>
      <c r="J14" s="8"/>
      <c r="K14" s="8"/>
      <c r="L14" s="8"/>
    </row>
    <row r="15" spans="1:12" x14ac:dyDescent="0.3">
      <c r="I15" s="8"/>
      <c r="J15" s="8"/>
      <c r="K15" s="8"/>
      <c r="L15" s="8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BEC9-FF92-414A-BC67-51DB318D2E9C}">
  <dimension ref="A1:G15"/>
  <sheetViews>
    <sheetView workbookViewId="0">
      <selection activeCell="G15" sqref="G2:G15"/>
    </sheetView>
  </sheetViews>
  <sheetFormatPr defaultRowHeight="14" x14ac:dyDescent="0.3"/>
  <cols>
    <col min="1" max="1" width="12.25" customWidth="1"/>
    <col min="2" max="2" width="12.33203125" bestFit="1" customWidth="1"/>
    <col min="3" max="3" width="8.5" bestFit="1" customWidth="1"/>
    <col min="4" max="4" width="27" bestFit="1" customWidth="1"/>
    <col min="5" max="5" width="14.33203125" bestFit="1" customWidth="1"/>
    <col min="6" max="6" width="16.25" bestFit="1" customWidth="1"/>
    <col min="7" max="7" width="15.1640625" style="7" bestFit="1" customWidth="1"/>
  </cols>
  <sheetData>
    <row r="1" spans="1:7" x14ac:dyDescent="0.3">
      <c r="A1" s="7" t="s">
        <v>121</v>
      </c>
      <c r="B1" s="7" t="s">
        <v>120</v>
      </c>
      <c r="C1" s="7" t="s">
        <v>122</v>
      </c>
      <c r="D1" s="7" t="s">
        <v>123</v>
      </c>
      <c r="E1" s="7" t="s">
        <v>88</v>
      </c>
      <c r="F1" s="7" t="s">
        <v>107</v>
      </c>
      <c r="G1" s="7" t="s">
        <v>134</v>
      </c>
    </row>
    <row r="2" spans="1:7" x14ac:dyDescent="0.3">
      <c r="A2" s="13">
        <v>45526</v>
      </c>
      <c r="B2" s="7" t="s">
        <v>109</v>
      </c>
      <c r="C2" s="7" t="s">
        <v>110</v>
      </c>
      <c r="D2" s="7" t="s">
        <v>66</v>
      </c>
      <c r="E2" s="13">
        <v>45504</v>
      </c>
      <c r="F2" s="7" t="s">
        <v>111</v>
      </c>
      <c r="G2" s="14">
        <v>-8519487.9700000007</v>
      </c>
    </row>
    <row r="3" spans="1:7" x14ac:dyDescent="0.3">
      <c r="A3" s="13">
        <v>45526</v>
      </c>
      <c r="B3" s="7" t="s">
        <v>18</v>
      </c>
      <c r="C3" s="7" t="s">
        <v>110</v>
      </c>
      <c r="D3" s="7" t="s">
        <v>66</v>
      </c>
      <c r="E3" s="13">
        <v>45504</v>
      </c>
      <c r="F3" s="7" t="s">
        <v>111</v>
      </c>
      <c r="G3" s="14">
        <f>G2*1.09</f>
        <v>-9286241.8873000015</v>
      </c>
    </row>
    <row r="4" spans="1:7" x14ac:dyDescent="0.3">
      <c r="A4" s="13">
        <v>45526</v>
      </c>
      <c r="B4" s="7" t="s">
        <v>113</v>
      </c>
      <c r="C4" s="7" t="s">
        <v>110</v>
      </c>
      <c r="D4" s="7" t="s">
        <v>66</v>
      </c>
      <c r="E4" s="13">
        <v>45504</v>
      </c>
      <c r="F4" s="7" t="s">
        <v>111</v>
      </c>
      <c r="G4" s="14">
        <f>G3*0.46</f>
        <v>-4271671.2681580009</v>
      </c>
    </row>
    <row r="5" spans="1:7" x14ac:dyDescent="0.3">
      <c r="A5" s="13">
        <v>45526</v>
      </c>
      <c r="B5" s="7" t="s">
        <v>114</v>
      </c>
      <c r="C5" s="7" t="s">
        <v>110</v>
      </c>
      <c r="D5" s="7" t="s">
        <v>66</v>
      </c>
      <c r="E5" s="13">
        <v>45504</v>
      </c>
      <c r="F5" s="7" t="s">
        <v>111</v>
      </c>
      <c r="G5" s="14">
        <f>G4*0.08</f>
        <v>-341733.70145264006</v>
      </c>
    </row>
    <row r="6" spans="1:7" x14ac:dyDescent="0.3">
      <c r="A6" s="13">
        <v>45526</v>
      </c>
      <c r="B6" s="7" t="s">
        <v>109</v>
      </c>
      <c r="C6" s="7" t="s">
        <v>110</v>
      </c>
      <c r="D6" s="7" t="s">
        <v>66</v>
      </c>
      <c r="E6" s="13">
        <v>45504</v>
      </c>
      <c r="F6" s="7" t="s">
        <v>91</v>
      </c>
      <c r="G6" s="15">
        <v>7.9399999999999998E-2</v>
      </c>
    </row>
    <row r="7" spans="1:7" x14ac:dyDescent="0.3">
      <c r="A7" s="13">
        <v>45526</v>
      </c>
      <c r="B7" s="7" t="s">
        <v>18</v>
      </c>
      <c r="C7" s="7" t="s">
        <v>110</v>
      </c>
      <c r="D7" s="7" t="s">
        <v>66</v>
      </c>
      <c r="E7" s="13">
        <v>45504</v>
      </c>
      <c r="F7" s="7" t="s">
        <v>91</v>
      </c>
      <c r="G7" s="15">
        <v>8.1600000000000006E-2</v>
      </c>
    </row>
    <row r="8" spans="1:7" x14ac:dyDescent="0.3">
      <c r="A8" s="13">
        <v>45526</v>
      </c>
      <c r="B8" s="7" t="s">
        <v>113</v>
      </c>
      <c r="C8" s="7" t="s">
        <v>110</v>
      </c>
      <c r="D8" s="7" t="s">
        <v>66</v>
      </c>
      <c r="E8" s="13">
        <v>45504</v>
      </c>
      <c r="F8" s="7" t="s">
        <v>91</v>
      </c>
      <c r="G8" s="15">
        <v>8.2699999999999996E-2</v>
      </c>
    </row>
    <row r="9" spans="1:7" x14ac:dyDescent="0.3">
      <c r="A9" s="13">
        <v>45537</v>
      </c>
      <c r="B9" s="7" t="s">
        <v>114</v>
      </c>
      <c r="C9" s="7" t="s">
        <v>110</v>
      </c>
      <c r="D9" s="7" t="s">
        <v>66</v>
      </c>
      <c r="E9" s="13">
        <v>45504</v>
      </c>
      <c r="F9" s="7" t="s">
        <v>91</v>
      </c>
      <c r="G9" s="15">
        <v>8.4099999999999994E-2</v>
      </c>
    </row>
    <row r="10" spans="1:7" x14ac:dyDescent="0.3">
      <c r="A10" s="13">
        <v>45537</v>
      </c>
      <c r="B10" s="7" t="s">
        <v>3</v>
      </c>
      <c r="C10" s="7" t="s">
        <v>115</v>
      </c>
      <c r="D10" s="7" t="s">
        <v>1</v>
      </c>
      <c r="E10" s="13">
        <v>45534</v>
      </c>
      <c r="F10" s="7" t="s">
        <v>111</v>
      </c>
      <c r="G10" s="14">
        <v>-36948571.742799997</v>
      </c>
    </row>
    <row r="11" spans="1:7" x14ac:dyDescent="0.3">
      <c r="A11" s="13">
        <v>45537</v>
      </c>
      <c r="B11" s="7" t="s">
        <v>4</v>
      </c>
      <c r="C11" s="7" t="s">
        <v>115</v>
      </c>
      <c r="D11" s="7" t="s">
        <v>116</v>
      </c>
      <c r="E11" s="13">
        <v>45534</v>
      </c>
      <c r="F11" s="7" t="s">
        <v>111</v>
      </c>
      <c r="G11" s="14">
        <f>G10*0.37</f>
        <v>-13670971.544836</v>
      </c>
    </row>
    <row r="12" spans="1:7" x14ac:dyDescent="0.3">
      <c r="A12" s="13">
        <v>45537</v>
      </c>
      <c r="B12" s="7" t="s">
        <v>5</v>
      </c>
      <c r="C12" s="7" t="s">
        <v>115</v>
      </c>
      <c r="D12" s="7" t="s">
        <v>2</v>
      </c>
      <c r="E12" s="13">
        <v>45534</v>
      </c>
      <c r="F12" s="7" t="s">
        <v>111</v>
      </c>
      <c r="G12" s="14">
        <f>G10*0.31</f>
        <v>-11454057.240267999</v>
      </c>
    </row>
    <row r="13" spans="1:7" x14ac:dyDescent="0.3">
      <c r="A13" s="13">
        <v>45537</v>
      </c>
      <c r="B13" s="7" t="s">
        <v>3</v>
      </c>
      <c r="C13" s="7" t="s">
        <v>115</v>
      </c>
      <c r="D13" s="7" t="s">
        <v>1</v>
      </c>
      <c r="E13" s="13">
        <v>45534</v>
      </c>
      <c r="F13" s="7" t="s">
        <v>117</v>
      </c>
      <c r="G13" s="15">
        <v>4.9700000000000001E-2</v>
      </c>
    </row>
    <row r="14" spans="1:7" x14ac:dyDescent="0.3">
      <c r="A14" s="13">
        <v>45537</v>
      </c>
      <c r="B14" s="7" t="s">
        <v>4</v>
      </c>
      <c r="C14" s="7" t="s">
        <v>115</v>
      </c>
      <c r="D14" s="7" t="s">
        <v>116</v>
      </c>
      <c r="E14" s="13">
        <v>45534</v>
      </c>
      <c r="F14" s="7" t="s">
        <v>117</v>
      </c>
      <c r="G14" s="15">
        <v>6.1400000000000003E-2</v>
      </c>
    </row>
    <row r="15" spans="1:7" x14ac:dyDescent="0.3">
      <c r="A15" s="13">
        <v>45537</v>
      </c>
      <c r="B15" s="7" t="s">
        <v>5</v>
      </c>
      <c r="C15" s="7" t="s">
        <v>115</v>
      </c>
      <c r="D15" s="7" t="s">
        <v>2</v>
      </c>
      <c r="E15" s="13">
        <v>45534</v>
      </c>
      <c r="F15" s="7" t="s">
        <v>117</v>
      </c>
      <c r="G15" s="15">
        <v>5.5169999999999997E-2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BF50-D4E1-43D9-935E-D66333FAC44D}">
  <dimension ref="A1:I15"/>
  <sheetViews>
    <sheetView workbookViewId="0">
      <selection activeCell="H15" sqref="A1:H15"/>
    </sheetView>
  </sheetViews>
  <sheetFormatPr defaultRowHeight="14" x14ac:dyDescent="0.3"/>
  <cols>
    <col min="1" max="1" width="13.33203125" bestFit="1" customWidth="1"/>
    <col min="2" max="3" width="12.33203125" bestFit="1" customWidth="1"/>
    <col min="4" max="4" width="8.5" bestFit="1" customWidth="1"/>
    <col min="5" max="5" width="27.08203125" bestFit="1" customWidth="1"/>
    <col min="6" max="6" width="14.33203125" bestFit="1" customWidth="1"/>
    <col min="7" max="7" width="16.25" bestFit="1" customWidth="1"/>
    <col min="8" max="8" width="14.33203125" bestFit="1" customWidth="1"/>
    <col min="9" max="9" width="14.1640625" bestFit="1" customWidth="1"/>
  </cols>
  <sheetData>
    <row r="1" spans="1:9" x14ac:dyDescent="0.3">
      <c r="A1" s="11" t="s">
        <v>121</v>
      </c>
      <c r="B1" s="11" t="s">
        <v>132</v>
      </c>
      <c r="C1" s="11" t="s">
        <v>120</v>
      </c>
      <c r="D1" s="11" t="s">
        <v>122</v>
      </c>
      <c r="E1" s="11" t="s">
        <v>123</v>
      </c>
      <c r="F1" s="11" t="s">
        <v>133</v>
      </c>
      <c r="G1" s="11" t="s">
        <v>89</v>
      </c>
      <c r="H1" s="7" t="s">
        <v>134</v>
      </c>
    </row>
    <row r="2" spans="1:9" x14ac:dyDescent="0.3">
      <c r="A2" s="12">
        <v>45526</v>
      </c>
      <c r="B2" s="12" t="s">
        <v>99</v>
      </c>
      <c r="C2" s="10" t="s">
        <v>75</v>
      </c>
      <c r="D2" s="11" t="s">
        <v>87</v>
      </c>
      <c r="E2" s="9" t="s">
        <v>66</v>
      </c>
      <c r="F2" s="12">
        <v>45504</v>
      </c>
      <c r="G2" s="11" t="s">
        <v>90</v>
      </c>
      <c r="H2" s="16">
        <v>-2981820.7895</v>
      </c>
      <c r="I2" s="14"/>
    </row>
    <row r="3" spans="1:9" x14ac:dyDescent="0.3">
      <c r="A3" s="12">
        <v>45526</v>
      </c>
      <c r="B3" s="12" t="s">
        <v>99</v>
      </c>
      <c r="C3" s="10" t="s">
        <v>18</v>
      </c>
      <c r="D3" s="11" t="s">
        <v>87</v>
      </c>
      <c r="E3" s="9" t="s">
        <v>66</v>
      </c>
      <c r="F3" s="12">
        <v>45504</v>
      </c>
      <c r="G3" s="11" t="s">
        <v>90</v>
      </c>
      <c r="H3" s="16">
        <v>-3250184.6605550004</v>
      </c>
      <c r="I3" s="14"/>
    </row>
    <row r="4" spans="1:9" x14ac:dyDescent="0.3">
      <c r="A4" s="12">
        <v>45526</v>
      </c>
      <c r="B4" s="12" t="s">
        <v>99</v>
      </c>
      <c r="C4" s="10" t="s">
        <v>77</v>
      </c>
      <c r="D4" s="11" t="s">
        <v>87</v>
      </c>
      <c r="E4" s="9" t="s">
        <v>66</v>
      </c>
      <c r="F4" s="12">
        <v>45504</v>
      </c>
      <c r="G4" s="11" t="s">
        <v>90</v>
      </c>
      <c r="H4" s="16">
        <v>-1495084.9438553003</v>
      </c>
      <c r="I4" s="14"/>
    </row>
    <row r="5" spans="1:9" x14ac:dyDescent="0.3">
      <c r="A5" s="12">
        <v>45526</v>
      </c>
      <c r="B5" s="12" t="s">
        <v>99</v>
      </c>
      <c r="C5" s="10" t="s">
        <v>78</v>
      </c>
      <c r="D5" s="11" t="s">
        <v>87</v>
      </c>
      <c r="E5" s="9" t="s">
        <v>83</v>
      </c>
      <c r="F5" s="12">
        <v>45504</v>
      </c>
      <c r="G5" s="11" t="s">
        <v>90</v>
      </c>
      <c r="H5" s="16">
        <v>-119606.79550842401</v>
      </c>
      <c r="I5" s="14"/>
    </row>
    <row r="6" spans="1:9" x14ac:dyDescent="0.3">
      <c r="A6" s="12">
        <v>45526</v>
      </c>
      <c r="B6" s="12" t="s">
        <v>100</v>
      </c>
      <c r="C6" s="10" t="s">
        <v>75</v>
      </c>
      <c r="D6" s="11" t="s">
        <v>87</v>
      </c>
      <c r="E6" s="9" t="s">
        <v>66</v>
      </c>
      <c r="F6" s="12">
        <v>45504</v>
      </c>
      <c r="G6" s="11" t="s">
        <v>91</v>
      </c>
      <c r="H6" s="17">
        <v>3.9699999999999999E-2</v>
      </c>
      <c r="I6" s="15"/>
    </row>
    <row r="7" spans="1:9" x14ac:dyDescent="0.3">
      <c r="A7" s="12">
        <v>45526</v>
      </c>
      <c r="B7" s="12" t="s">
        <v>100</v>
      </c>
      <c r="C7" s="10" t="s">
        <v>18</v>
      </c>
      <c r="D7" s="11" t="s">
        <v>87</v>
      </c>
      <c r="E7" s="9" t="s">
        <v>66</v>
      </c>
      <c r="F7" s="12">
        <v>45504</v>
      </c>
      <c r="G7" s="11" t="s">
        <v>91</v>
      </c>
      <c r="H7" s="17">
        <v>4.0800000000000003E-2</v>
      </c>
      <c r="I7" s="15"/>
    </row>
    <row r="8" spans="1:9" x14ac:dyDescent="0.3">
      <c r="A8" s="12">
        <v>45526</v>
      </c>
      <c r="B8" s="12" t="s">
        <v>100</v>
      </c>
      <c r="C8" s="10" t="s">
        <v>77</v>
      </c>
      <c r="D8" s="11" t="s">
        <v>87</v>
      </c>
      <c r="E8" s="9" t="s">
        <v>66</v>
      </c>
      <c r="F8" s="12">
        <v>45504</v>
      </c>
      <c r="G8" s="11" t="s">
        <v>91</v>
      </c>
      <c r="H8" s="17">
        <v>4.1349999999999998E-2</v>
      </c>
      <c r="I8" s="15"/>
    </row>
    <row r="9" spans="1:9" x14ac:dyDescent="0.3">
      <c r="A9" s="12">
        <v>45537</v>
      </c>
      <c r="B9" s="12" t="s">
        <v>100</v>
      </c>
      <c r="C9" s="10" t="s">
        <v>78</v>
      </c>
      <c r="D9" s="11" t="s">
        <v>87</v>
      </c>
      <c r="E9" s="9" t="s">
        <v>83</v>
      </c>
      <c r="F9" s="12">
        <v>45504</v>
      </c>
      <c r="G9" s="11" t="s">
        <v>91</v>
      </c>
      <c r="H9" s="17">
        <v>4.2049999999999997E-2</v>
      </c>
      <c r="I9" s="15"/>
    </row>
    <row r="10" spans="1:9" x14ac:dyDescent="0.3">
      <c r="A10" s="12">
        <v>45537</v>
      </c>
      <c r="B10" s="12" t="s">
        <v>101</v>
      </c>
      <c r="C10" s="5" t="s">
        <v>3</v>
      </c>
      <c r="D10" s="11" t="s">
        <v>92</v>
      </c>
      <c r="E10" s="11" t="s">
        <v>95</v>
      </c>
      <c r="F10" s="12">
        <v>45534</v>
      </c>
      <c r="G10" s="11" t="s">
        <v>90</v>
      </c>
      <c r="H10" s="16">
        <v>-12932000.109979998</v>
      </c>
      <c r="I10" s="14"/>
    </row>
    <row r="11" spans="1:9" x14ac:dyDescent="0.3">
      <c r="A11" s="12">
        <v>45537</v>
      </c>
      <c r="B11" s="12" t="s">
        <v>101</v>
      </c>
      <c r="C11" s="5" t="s">
        <v>4</v>
      </c>
      <c r="D11" s="11" t="s">
        <v>92</v>
      </c>
      <c r="E11" s="11" t="s">
        <v>93</v>
      </c>
      <c r="F11" s="12">
        <v>45534</v>
      </c>
      <c r="G11" s="11" t="s">
        <v>90</v>
      </c>
      <c r="H11" s="16">
        <v>-4784840.0406925995</v>
      </c>
      <c r="I11" s="14"/>
    </row>
    <row r="12" spans="1:9" x14ac:dyDescent="0.3">
      <c r="A12" s="12">
        <v>45537</v>
      </c>
      <c r="B12" s="12" t="s">
        <v>101</v>
      </c>
      <c r="C12" s="5" t="s">
        <v>5</v>
      </c>
      <c r="D12" s="11" t="s">
        <v>92</v>
      </c>
      <c r="E12" s="11" t="s">
        <v>96</v>
      </c>
      <c r="F12" s="12">
        <v>45534</v>
      </c>
      <c r="G12" s="11" t="s">
        <v>90</v>
      </c>
      <c r="H12" s="16">
        <v>-4008920.0340937995</v>
      </c>
      <c r="I12" s="14"/>
    </row>
    <row r="13" spans="1:9" x14ac:dyDescent="0.3">
      <c r="A13" s="12">
        <v>45537</v>
      </c>
      <c r="B13" s="12" t="s">
        <v>99</v>
      </c>
      <c r="C13" s="5" t="s">
        <v>3</v>
      </c>
      <c r="D13" s="11" t="s">
        <v>92</v>
      </c>
      <c r="E13" s="11" t="s">
        <v>95</v>
      </c>
      <c r="F13" s="12">
        <v>45534</v>
      </c>
      <c r="G13" s="11" t="s">
        <v>97</v>
      </c>
      <c r="H13" s="17">
        <v>2.4850000000000001E-2</v>
      </c>
      <c r="I13" s="15"/>
    </row>
    <row r="14" spans="1:9" x14ac:dyDescent="0.3">
      <c r="A14" s="12">
        <v>45537</v>
      </c>
      <c r="B14" s="12" t="s">
        <v>99</v>
      </c>
      <c r="C14" s="5" t="s">
        <v>4</v>
      </c>
      <c r="D14" s="11" t="s">
        <v>92</v>
      </c>
      <c r="E14" s="11" t="s">
        <v>93</v>
      </c>
      <c r="F14" s="12">
        <v>45534</v>
      </c>
      <c r="G14" s="11" t="s">
        <v>97</v>
      </c>
      <c r="H14" s="17">
        <v>3.0700000000000002E-2</v>
      </c>
      <c r="I14" s="15"/>
    </row>
    <row r="15" spans="1:9" x14ac:dyDescent="0.3">
      <c r="A15" s="12">
        <v>45537</v>
      </c>
      <c r="B15" s="12" t="s">
        <v>99</v>
      </c>
      <c r="C15" s="5" t="s">
        <v>5</v>
      </c>
      <c r="D15" s="11" t="s">
        <v>92</v>
      </c>
      <c r="E15" s="11" t="s">
        <v>96</v>
      </c>
      <c r="F15" s="12">
        <v>45534</v>
      </c>
      <c r="G15" s="11" t="s">
        <v>97</v>
      </c>
      <c r="H15" s="17">
        <v>2.7584999999999998E-2</v>
      </c>
      <c r="I15" s="15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AFB4-A256-48D8-8A91-3BD8529399E5}">
  <dimension ref="A1:H12"/>
  <sheetViews>
    <sheetView tabSelected="1" workbookViewId="0">
      <selection activeCell="I7" sqref="I7"/>
    </sheetView>
  </sheetViews>
  <sheetFormatPr defaultRowHeight="14" x14ac:dyDescent="0.3"/>
  <cols>
    <col min="1" max="3" width="14.33203125" style="19" bestFit="1" customWidth="1"/>
    <col min="4" max="4" width="10.4140625" style="19" bestFit="1" customWidth="1"/>
    <col min="5" max="5" width="24.1640625" style="19" bestFit="1" customWidth="1"/>
    <col min="6" max="8" width="14.33203125" style="19" bestFit="1" customWidth="1"/>
  </cols>
  <sheetData>
    <row r="1" spans="1:8" x14ac:dyDescent="0.3">
      <c r="A1" s="11" t="s">
        <v>84</v>
      </c>
      <c r="B1" s="11" t="s">
        <v>106</v>
      </c>
      <c r="C1" s="11" t="s">
        <v>74</v>
      </c>
      <c r="D1" s="11" t="s">
        <v>85</v>
      </c>
      <c r="E1" s="11" t="s">
        <v>86</v>
      </c>
      <c r="F1" s="11" t="s">
        <v>88</v>
      </c>
      <c r="G1" s="11" t="s">
        <v>89</v>
      </c>
      <c r="H1" s="11" t="s">
        <v>135</v>
      </c>
    </row>
    <row r="2" spans="1:8" ht="28" x14ac:dyDescent="0.3">
      <c r="A2" s="12">
        <v>45526</v>
      </c>
      <c r="B2" s="12" t="s">
        <v>102</v>
      </c>
      <c r="C2" s="10" t="s">
        <v>75</v>
      </c>
      <c r="D2" s="11" t="s">
        <v>87</v>
      </c>
      <c r="E2" s="9" t="s">
        <v>66</v>
      </c>
      <c r="F2" s="12">
        <v>45504</v>
      </c>
      <c r="G2" s="11" t="s">
        <v>90</v>
      </c>
      <c r="H2" s="18">
        <v>-8519487.9700000007</v>
      </c>
    </row>
    <row r="3" spans="1:8" ht="28" x14ac:dyDescent="0.3">
      <c r="A3" s="12">
        <v>45526</v>
      </c>
      <c r="B3" s="12" t="s">
        <v>102</v>
      </c>
      <c r="C3" s="10" t="s">
        <v>18</v>
      </c>
      <c r="D3" s="11" t="s">
        <v>87</v>
      </c>
      <c r="E3" s="9" t="s">
        <v>66</v>
      </c>
      <c r="F3" s="12">
        <v>45504</v>
      </c>
      <c r="G3" s="11" t="s">
        <v>90</v>
      </c>
      <c r="H3" s="18">
        <v>-9286241.8873000015</v>
      </c>
    </row>
    <row r="4" spans="1:8" ht="28" x14ac:dyDescent="0.3">
      <c r="A4" s="12">
        <v>45526</v>
      </c>
      <c r="B4" s="12" t="s">
        <v>102</v>
      </c>
      <c r="C4" s="10" t="s">
        <v>77</v>
      </c>
      <c r="D4" s="11" t="s">
        <v>87</v>
      </c>
      <c r="E4" s="9" t="s">
        <v>66</v>
      </c>
      <c r="F4" s="12">
        <v>45504</v>
      </c>
      <c r="G4" s="11" t="s">
        <v>90</v>
      </c>
      <c r="H4" s="18">
        <v>-4271671.2681580009</v>
      </c>
    </row>
    <row r="5" spans="1:8" ht="28" x14ac:dyDescent="0.3">
      <c r="A5" s="12">
        <v>45526</v>
      </c>
      <c r="B5" s="12" t="s">
        <v>102</v>
      </c>
      <c r="C5" s="10" t="s">
        <v>78</v>
      </c>
      <c r="D5" s="11" t="s">
        <v>87</v>
      </c>
      <c r="E5" s="9" t="s">
        <v>83</v>
      </c>
      <c r="F5" s="12">
        <v>45504</v>
      </c>
      <c r="G5" s="11" t="s">
        <v>90</v>
      </c>
      <c r="H5" s="18">
        <v>-341733.70145264006</v>
      </c>
    </row>
    <row r="6" spans="1:8" x14ac:dyDescent="0.3">
      <c r="A6" s="12">
        <v>45526</v>
      </c>
      <c r="B6" s="12" t="s">
        <v>103</v>
      </c>
      <c r="C6" s="5" t="s">
        <v>24</v>
      </c>
      <c r="D6" s="11" t="s">
        <v>87</v>
      </c>
      <c r="E6" s="8" t="s">
        <v>68</v>
      </c>
      <c r="F6" s="12">
        <v>45504</v>
      </c>
      <c r="G6" s="11" t="s">
        <v>90</v>
      </c>
      <c r="H6" s="18">
        <v>-671385.28</v>
      </c>
    </row>
    <row r="7" spans="1:8" x14ac:dyDescent="0.3">
      <c r="A7" s="12">
        <v>45526</v>
      </c>
      <c r="B7" s="12" t="s">
        <v>103</v>
      </c>
      <c r="C7" s="5" t="s">
        <v>25</v>
      </c>
      <c r="D7" s="11" t="s">
        <v>87</v>
      </c>
      <c r="E7" s="8" t="s">
        <v>68</v>
      </c>
      <c r="F7" s="12">
        <v>45504</v>
      </c>
      <c r="G7" s="11" t="s">
        <v>90</v>
      </c>
      <c r="H7" s="18">
        <v>-375975.75680000003</v>
      </c>
    </row>
    <row r="8" spans="1:8" x14ac:dyDescent="0.3">
      <c r="A8" s="12">
        <v>45526</v>
      </c>
      <c r="B8" s="12" t="s">
        <v>103</v>
      </c>
      <c r="C8" s="5" t="s">
        <v>26</v>
      </c>
      <c r="D8" s="11" t="s">
        <v>87</v>
      </c>
      <c r="E8" s="8" t="s">
        <v>68</v>
      </c>
      <c r="F8" s="12">
        <v>45504</v>
      </c>
      <c r="G8" s="11" t="s">
        <v>90</v>
      </c>
      <c r="H8" s="18">
        <v>-87280.0864</v>
      </c>
    </row>
    <row r="9" spans="1:8" x14ac:dyDescent="0.3">
      <c r="A9" s="12">
        <v>45537</v>
      </c>
      <c r="B9" s="12" t="s">
        <v>103</v>
      </c>
      <c r="C9" s="5" t="s">
        <v>79</v>
      </c>
      <c r="D9" s="11" t="s">
        <v>87</v>
      </c>
      <c r="E9" s="8" t="s">
        <v>68</v>
      </c>
      <c r="F9" s="12">
        <v>45504</v>
      </c>
      <c r="G9" s="11" t="s">
        <v>90</v>
      </c>
      <c r="H9" s="18">
        <v>-33569.264000000003</v>
      </c>
    </row>
    <row r="10" spans="1:8" x14ac:dyDescent="0.3">
      <c r="A10" s="12">
        <v>45537</v>
      </c>
      <c r="B10" s="12" t="s">
        <v>105</v>
      </c>
      <c r="C10" s="5" t="s">
        <v>3</v>
      </c>
      <c r="D10" s="11" t="s">
        <v>92</v>
      </c>
      <c r="E10" s="11" t="s">
        <v>95</v>
      </c>
      <c r="F10" s="12">
        <v>45534</v>
      </c>
      <c r="G10" s="11" t="s">
        <v>90</v>
      </c>
      <c r="H10" s="18">
        <v>-36948571.742799997</v>
      </c>
    </row>
    <row r="11" spans="1:8" x14ac:dyDescent="0.3">
      <c r="A11" s="12">
        <v>45537</v>
      </c>
      <c r="B11" s="12" t="s">
        <v>105</v>
      </c>
      <c r="C11" s="5" t="s">
        <v>4</v>
      </c>
      <c r="D11" s="11" t="s">
        <v>92</v>
      </c>
      <c r="E11" s="11" t="s">
        <v>93</v>
      </c>
      <c r="F11" s="12">
        <v>45534</v>
      </c>
      <c r="G11" s="11" t="s">
        <v>90</v>
      </c>
      <c r="H11" s="18">
        <v>-13670971.544836</v>
      </c>
    </row>
    <row r="12" spans="1:8" x14ac:dyDescent="0.3">
      <c r="A12" s="12">
        <v>45537</v>
      </c>
      <c r="B12" s="12" t="s">
        <v>105</v>
      </c>
      <c r="C12" s="5" t="s">
        <v>5</v>
      </c>
      <c r="D12" s="11" t="s">
        <v>92</v>
      </c>
      <c r="E12" s="11" t="s">
        <v>96</v>
      </c>
      <c r="F12" s="12">
        <v>45534</v>
      </c>
      <c r="G12" s="11" t="s">
        <v>90</v>
      </c>
      <c r="H12" s="18">
        <v>-11454057.240267999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假设情景</vt:lpstr>
      <vt:lpstr>历史情景</vt:lpstr>
      <vt:lpstr>任务配置（全公司仓位）</vt:lpstr>
      <vt:lpstr>任务配置（投资组合）</vt:lpstr>
      <vt:lpstr>任务配置（资产类型）</vt:lpstr>
      <vt:lpstr>任务执行监控（全公司仓位）</vt:lpstr>
      <vt:lpstr>任务执行监控（投资组合）</vt:lpstr>
      <vt:lpstr>任务执行监控（资产类别）</vt:lpstr>
      <vt:lpstr>测试结果（全仓位）</vt:lpstr>
      <vt:lpstr>测试结果（投资组合）</vt:lpstr>
      <vt:lpstr>测试结果（资产类型）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 斯</dc:creator>
  <cp:lastModifiedBy>文 斯</cp:lastModifiedBy>
  <dcterms:created xsi:type="dcterms:W3CDTF">2024-09-03T01:05:09Z</dcterms:created>
  <dcterms:modified xsi:type="dcterms:W3CDTF">2024-09-06T07:13:14Z</dcterms:modified>
</cp:coreProperties>
</file>